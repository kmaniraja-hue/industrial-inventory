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ventory Master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7" i="1" l="1"/>
  <c r="S76" i="1"/>
  <c r="S75" i="1"/>
  <c r="S74" i="1"/>
  <c r="S73" i="1"/>
  <c r="S72" i="1"/>
  <c r="S71" i="1"/>
  <c r="S70" i="1"/>
  <c r="S69" i="1"/>
  <c r="S67" i="1"/>
  <c r="R66" i="1"/>
  <c r="Q66" i="1"/>
  <c r="P66" i="1"/>
  <c r="O66" i="1"/>
  <c r="N66" i="1"/>
  <c r="M66" i="1"/>
  <c r="L66" i="1"/>
  <c r="K66" i="1"/>
  <c r="J66" i="1"/>
  <c r="I66" i="1"/>
  <c r="H66" i="1"/>
  <c r="S65" i="1"/>
  <c r="S64" i="1"/>
  <c r="S63" i="1"/>
  <c r="S61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4" i="1"/>
  <c r="S43" i="1"/>
  <c r="S42" i="1"/>
  <c r="S41" i="1"/>
  <c r="S40" i="1"/>
  <c r="S39" i="1"/>
  <c r="S38" i="1"/>
  <c r="S37" i="1"/>
  <c r="S36" i="1"/>
  <c r="S35" i="1"/>
  <c r="S3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66" i="1" l="1"/>
</calcChain>
</file>

<file path=xl/comments1.xml><?xml version="1.0" encoding="utf-8"?>
<comments xmlns="http://schemas.openxmlformats.org/spreadsheetml/2006/main">
  <authors>
    <author>dsridhar</author>
    <author>bsrao</author>
    <author>BSRAO</author>
    <author/>
  </authors>
  <commentList>
    <comment ref="B9" authorId="0" shapeId="0">
      <text>
        <r>
          <rPr>
            <b/>
            <sz val="8"/>
            <color indexed="8"/>
            <rFont val="Tahoma"/>
            <family val="2"/>
          </rPr>
          <t>dsridhar:</t>
        </r>
        <r>
          <rPr>
            <sz val="8"/>
            <color indexed="8"/>
            <rFont val="Tahoma"/>
            <family val="2"/>
          </rPr>
          <t xml:space="preserve">
power supply for c200</t>
        </r>
      </text>
    </comment>
    <comment ref="B19" authorId="0" shapeId="0">
      <text>
        <r>
          <rPr>
            <b/>
            <sz val="8"/>
            <color indexed="8"/>
            <rFont val="Tahoma"/>
            <family val="2"/>
          </rPr>
          <t>dsridhar:</t>
        </r>
        <r>
          <rPr>
            <sz val="8"/>
            <color indexed="8"/>
            <rFont val="Tahoma"/>
            <family val="2"/>
          </rPr>
          <t xml:space="preserve">
4 nos available at ccr</t>
        </r>
      </text>
    </comment>
    <comment ref="B21" authorId="0" shapeId="0">
      <text>
        <r>
          <rPr>
            <b/>
            <sz val="8"/>
            <color indexed="8"/>
            <rFont val="Tahoma"/>
            <family val="2"/>
          </rPr>
          <t>dsridhar:</t>
        </r>
        <r>
          <rPr>
            <sz val="8"/>
            <color indexed="8"/>
            <rFont val="Tahoma"/>
            <family val="2"/>
          </rPr>
          <t xml:space="preserve">
8 nos available at CCR</t>
        </r>
      </text>
    </comment>
    <comment ref="A26" authorId="1" shapeId="0">
      <text>
        <r>
          <rPr>
            <b/>
            <sz val="9"/>
            <color indexed="8"/>
            <rFont val="Tahoma"/>
            <family val="2"/>
          </rPr>
          <t>DUPLICTAE</t>
        </r>
      </text>
    </comment>
    <comment ref="B35" authorId="2" shapeId="0">
      <text>
        <r>
          <rPr>
            <b/>
            <sz val="12"/>
            <color indexed="10"/>
            <rFont val="Tahoma"/>
            <family val="2"/>
          </rPr>
          <t>Row No 92 is the same item with different Code</t>
        </r>
        <r>
          <rPr>
            <sz val="9"/>
            <color indexed="8"/>
            <rFont val="Tahoma"/>
            <family val="2"/>
          </rPr>
          <t xml:space="preserve">
</t>
        </r>
      </text>
    </comment>
    <comment ref="B36" authorId="2" shapeId="0">
      <text>
        <r>
          <rPr>
            <b/>
            <sz val="12"/>
            <color indexed="10"/>
            <rFont val="Tahoma"/>
            <family val="2"/>
          </rPr>
          <t>Row No 93 is the same item with different code</t>
        </r>
        <r>
          <rPr>
            <sz val="9"/>
            <color indexed="8"/>
            <rFont val="Tahoma"/>
            <family val="2"/>
          </rPr>
          <t xml:space="preserve">
</t>
        </r>
      </text>
    </comment>
    <comment ref="D48" authorId="3" shapeId="0">
      <text>
        <r>
          <rPr>
            <b/>
            <sz val="8"/>
            <color indexed="8"/>
            <rFont val="Tahoma"/>
            <family val="2"/>
          </rPr>
          <t xml:space="preserve">vinay abhay deshpande:
</t>
        </r>
        <r>
          <rPr>
            <sz val="8"/>
            <color indexed="8"/>
            <rFont val="Tahoma"/>
            <family val="2"/>
          </rPr>
          <t>check part no</t>
        </r>
      </text>
    </comment>
    <comment ref="B49" authorId="0" shapeId="0">
      <text>
        <r>
          <rPr>
            <b/>
            <sz val="8"/>
            <color indexed="8"/>
            <rFont val="Tahoma"/>
            <family val="2"/>
          </rPr>
          <t>dsridhar:</t>
        </r>
        <r>
          <rPr>
            <sz val="8"/>
            <color indexed="8"/>
            <rFont val="Tahoma"/>
            <family val="2"/>
          </rPr>
          <t xml:space="preserve">
Can be fabricated</t>
        </r>
      </text>
    </comment>
    <comment ref="A58" authorId="1" shapeId="0">
      <text>
        <r>
          <rPr>
            <b/>
            <sz val="9"/>
            <color indexed="8"/>
            <rFont val="Tahoma"/>
            <family val="2"/>
          </rPr>
          <t>DUPLICATE</t>
        </r>
      </text>
    </comment>
  </commentList>
</comments>
</file>

<file path=xl/sharedStrings.xml><?xml version="1.0" encoding="utf-8"?>
<sst xmlns="http://schemas.openxmlformats.org/spreadsheetml/2006/main" count="358" uniqueCount="223">
  <si>
    <t>TK-PRS021</t>
  </si>
  <si>
    <t>51404305-375</t>
  </si>
  <si>
    <t>C200 CONTROLLER PROCESSOR</t>
  </si>
  <si>
    <t>HWL</t>
  </si>
  <si>
    <t>Nos</t>
  </si>
  <si>
    <t>TK-FXX102</t>
  </si>
  <si>
    <t>Processor Rack(C200), 10 slots</t>
  </si>
  <si>
    <t>TK-FTEB01</t>
  </si>
  <si>
    <t>51309512-175</t>
  </si>
  <si>
    <t>FTE Bridge Module (TC-FTBE01)</t>
  </si>
  <si>
    <t>TK-IOLI01</t>
  </si>
  <si>
    <t>51403427-275</t>
  </si>
  <si>
    <t>IOLIM MODULE</t>
  </si>
  <si>
    <t>TK-PRR021</t>
  </si>
  <si>
    <t>51309288-375</t>
  </si>
  <si>
    <t>PLANTSCAPE RM MODULE (CC)</t>
  </si>
  <si>
    <t>GN-KRRxx1</t>
  </si>
  <si>
    <t>51204147-001</t>
  </si>
  <si>
    <t>REDUNDANCY CONTROL CABLE - 1MTR.</t>
  </si>
  <si>
    <t>TC-FPCXX2</t>
  </si>
  <si>
    <t>TK-FPCXX2</t>
  </si>
  <si>
    <t>C200 RACK PWR SUPPLY 120/240V</t>
  </si>
  <si>
    <t>TH51190465-200</t>
  </si>
  <si>
    <t>SMPS 25VDC out &amp; 16Amp As per Drg.No 51190465 PMIO POWER SUPPLY</t>
  </si>
  <si>
    <t>SACC18064187</t>
  </si>
  <si>
    <t>AA ALKALINE BATTERY SIZE 1.5V</t>
  </si>
  <si>
    <t>MC-PAIH03</t>
  </si>
  <si>
    <t>51304754-150</t>
  </si>
  <si>
    <t>IOP Assy, HLAI, CC(MC-PAIH03)</t>
  </si>
  <si>
    <t>MC-PAOY22</t>
  </si>
  <si>
    <t>80363969-150</t>
  </si>
  <si>
    <t>IOP Assy, 16 A/O, CC(MC-PAOY22)</t>
  </si>
  <si>
    <t>MC-PDIX02</t>
  </si>
  <si>
    <t>51304485-150</t>
  </si>
  <si>
    <t>Digital Input Processor(24VDC), 32 points</t>
  </si>
  <si>
    <t>No.</t>
  </si>
  <si>
    <t>MC-PDOY22</t>
  </si>
  <si>
    <t>80363975-150</t>
  </si>
  <si>
    <t>Digital Output Processor(24VDC), 32 points</t>
  </si>
  <si>
    <t>51195479-200</t>
  </si>
  <si>
    <t>Cable Set, I/O Link, 3 Drop</t>
  </si>
  <si>
    <t>51195479-400</t>
  </si>
  <si>
    <t>Cable Set, I/O Link, 5 Drop</t>
  </si>
  <si>
    <t>TC-KIOL10</t>
  </si>
  <si>
    <t>51202306-010</t>
  </si>
  <si>
    <t xml:space="preserve">I/O Link Cable </t>
  </si>
  <si>
    <t>TC-CCR014</t>
  </si>
  <si>
    <t>CNI MODULE</t>
  </si>
  <si>
    <t>SMODSSTPFBCLX</t>
  </si>
  <si>
    <t>PROFIBUS MODULE</t>
  </si>
  <si>
    <t>TC-KCCX01</t>
  </si>
  <si>
    <t>CONTROLNET CABLE, 1 Mtr</t>
  </si>
  <si>
    <t>TC-KCCX02</t>
  </si>
  <si>
    <t>CONTROLNET CABLE, 2 Mtr</t>
  </si>
  <si>
    <t>8659217-----</t>
  </si>
  <si>
    <t>9904-TPS</t>
  </si>
  <si>
    <t>T - TYPE TAP</t>
  </si>
  <si>
    <t>TC-TCXBNC</t>
  </si>
  <si>
    <t>END RESISTOR</t>
  </si>
  <si>
    <t>51304419-150</t>
  </si>
  <si>
    <t>IOLINK EXTENDER MODULE (MAIN)</t>
  </si>
  <si>
    <t>IOLINK EXTENDER MODULE (REMOTE)</t>
  </si>
  <si>
    <t>51201557-150</t>
  </si>
  <si>
    <t>PART NO:51201557-150</t>
  </si>
  <si>
    <t>I/O FIBRE OPTIC COUPLER - ONE PAIR (LOCAL CHASIS)</t>
  </si>
  <si>
    <t>51201557-350</t>
  </si>
  <si>
    <t>PART NO:51201557-350</t>
  </si>
  <si>
    <t>I/O FIBRE OPTIC COUPLER - THREE PAIR (REMOTE CHASIS)</t>
  </si>
  <si>
    <t>TC-RPA001</t>
  </si>
  <si>
    <t>CONTROL NET REPEATER ADOPTER</t>
  </si>
  <si>
    <t>TC-RPFM01</t>
  </si>
  <si>
    <t>CONTROL NET REPEATER FOR FIBER OPTIC</t>
  </si>
  <si>
    <t>MC-IOLM02</t>
  </si>
  <si>
    <t>PART NO:MC-IOLM02</t>
  </si>
  <si>
    <t>I/O LINK EXTENDER PAIR - MAIN LOCATION</t>
  </si>
  <si>
    <t>MC-IOLX02</t>
  </si>
  <si>
    <t>PART NO:MC-IOLX02</t>
  </si>
  <si>
    <t>I/O LINK EXTENDER PAIR - REMOTE LOCATION</t>
  </si>
  <si>
    <t>51404127-250</t>
  </si>
  <si>
    <t>PART NO:51404127-250</t>
  </si>
  <si>
    <t>HPM IO FILE 15 SLOT</t>
  </si>
  <si>
    <t>S.NO.</t>
  </si>
  <si>
    <t>Material Code</t>
  </si>
  <si>
    <t>Part Number [e.g. MU/MC or TK/TC]</t>
  </si>
  <si>
    <t>ERP Part Number</t>
  </si>
  <si>
    <t>Description</t>
  </si>
  <si>
    <t>Make</t>
  </si>
  <si>
    <t>UOM</t>
  </si>
  <si>
    <t>CS06</t>
  </si>
  <si>
    <t>CS11</t>
  </si>
  <si>
    <t>CCR</t>
  </si>
  <si>
    <t>TRNG</t>
  </si>
  <si>
    <t>CS02</t>
  </si>
  <si>
    <t>CS03</t>
  </si>
  <si>
    <t>CS04</t>
  </si>
  <si>
    <t>CS05</t>
  </si>
  <si>
    <t>CS07</t>
  </si>
  <si>
    <t>CS09</t>
  </si>
  <si>
    <t>CS10</t>
  </si>
  <si>
    <t>TOTAL</t>
  </si>
  <si>
    <t>MC-TAIH52</t>
  </si>
  <si>
    <t>51304337-250</t>
  </si>
  <si>
    <t>HLAI / STI FTA,  16 Pts  -  Screw Terminals</t>
  </si>
  <si>
    <t>MC-TAOY22</t>
  </si>
  <si>
    <t>51204174-175</t>
  </si>
  <si>
    <t>AO FTA, 16Pt. - Screw Terminals</t>
  </si>
  <si>
    <t>MU-KFTA05</t>
  </si>
  <si>
    <t>FTA cables PMIO-5 Mtr</t>
  </si>
  <si>
    <t>MC-TDID72</t>
  </si>
  <si>
    <t>51303928-150</t>
  </si>
  <si>
    <t xml:space="preserve">DI FTA, 32 points(24vdc) </t>
  </si>
  <si>
    <t>MC-TDOY62</t>
  </si>
  <si>
    <t>51204156-175</t>
  </si>
  <si>
    <t xml:space="preserve">DO FTA, 32 points(24VDC) </t>
  </si>
  <si>
    <t>SRLY-G2R-2-SNI </t>
  </si>
  <si>
    <t xml:space="preserve">OMRON G2R-2-SNI Relay 24V DC OUTPUT RELAYS </t>
  </si>
  <si>
    <t>OMRON</t>
  </si>
  <si>
    <t>SRLY-G2R-1-SNI</t>
  </si>
  <si>
    <t>OMRON G2R-1-SNI Relay (For PLC)</t>
  </si>
  <si>
    <t>XRLY-P2RF-08-E </t>
  </si>
  <si>
    <t>OMRON P2RF-08-E Base</t>
  </si>
  <si>
    <t>XRLY-P2RF-05-E</t>
  </si>
  <si>
    <t>OMRON P2RF-05-E Base</t>
  </si>
  <si>
    <t>PC-SRV-PE2900-5hdd-raid5</t>
  </si>
  <si>
    <t>51153734-100</t>
  </si>
  <si>
    <t>CFI DELL Server 2900 with NIC Ethernet card</t>
  </si>
  <si>
    <t>51153731-100</t>
  </si>
  <si>
    <t>WS-490 WORKSTATION</t>
  </si>
  <si>
    <t>DELL</t>
  </si>
  <si>
    <t>94802006500/94808035940</t>
  </si>
  <si>
    <t>CACC43110420</t>
  </si>
  <si>
    <t>21" TFT MONITOR</t>
  </si>
  <si>
    <t>SAMSUNG</t>
  </si>
  <si>
    <t>51199562-101</t>
  </si>
  <si>
    <t>24 PORT MANAGED ETHERNET SWITCHES</t>
  </si>
  <si>
    <t>CISCO</t>
  </si>
  <si>
    <t>SCBL02STP002</t>
  </si>
  <si>
    <t>Ethernet ( STP) Cable- 4 Pair</t>
  </si>
  <si>
    <t>HWL Std</t>
  </si>
  <si>
    <t>Mtr</t>
  </si>
  <si>
    <t>RCS-5008</t>
  </si>
  <si>
    <t>Terminal Server  Systech  8 Port</t>
  </si>
  <si>
    <t>RCS-5016</t>
  </si>
  <si>
    <t>Terminal Server  Systech  16 Port</t>
  </si>
  <si>
    <t>51402497-200</t>
  </si>
  <si>
    <t>ENHANCED OPERATOR KEYBOARD</t>
  </si>
  <si>
    <t>HAIL</t>
  </si>
  <si>
    <t>51305418-100</t>
  </si>
  <si>
    <t>OEP KEYBOARD CABLE</t>
  </si>
  <si>
    <t>51305776-100</t>
  </si>
  <si>
    <t>OEP/IKB MODULE ASSEMBLY</t>
  </si>
  <si>
    <t>51196990-200</t>
  </si>
  <si>
    <t>DB9 M/F COMM PORT CABLE (10 FEET)</t>
  </si>
  <si>
    <t>51305381-200</t>
  </si>
  <si>
    <t>IKBI2 PS/2 CABLE (6 FEET)</t>
  </si>
  <si>
    <t>DPSU11130044</t>
  </si>
  <si>
    <t>POWER SUPPLY 24VDC/20A</t>
  </si>
  <si>
    <t>DPSU11180015</t>
  </si>
  <si>
    <t>Bulk Power Supply I/P 110/230 V AC O/P 25V DC 40 AMP (redundant)</t>
  </si>
  <si>
    <t>SACC08184472</t>
  </si>
  <si>
    <t>DLINK 8 PORT HUB - DES1008D-CANCELL REF SACC08187467</t>
  </si>
  <si>
    <t>320GB HARD DISK FOR DESK TOPS</t>
  </si>
  <si>
    <t xml:space="preserve">51153731-903         </t>
  </si>
  <si>
    <t xml:space="preserve">RAM </t>
  </si>
  <si>
    <t>SRX100</t>
  </si>
  <si>
    <t>FIREWALL JUNIPER NETWORKS</t>
  </si>
  <si>
    <t>CACC43111353</t>
  </si>
  <si>
    <t>Firewall PIX515</t>
  </si>
  <si>
    <t>51199562-111</t>
  </si>
  <si>
    <t>48 PORT MANAGED ETHERNET SWITCHES</t>
  </si>
  <si>
    <t>SCBL22171004</t>
  </si>
  <si>
    <t>CABLE EQUI. BELDEN 9729 BLK</t>
  </si>
  <si>
    <t>CACC06082179</t>
  </si>
  <si>
    <t>Dell - Intel(R) Pro/1000 MT Dual Port Gigabit Ethernet NIC (V8.2)</t>
  </si>
  <si>
    <t>MEDIA CONVERTER SINGLE MODE OFC</t>
  </si>
  <si>
    <t>MEDIA CONVERTER MULTI MODE OFC</t>
  </si>
  <si>
    <t>DHRIO RACK POWER SUPPLY</t>
  </si>
  <si>
    <t>ALLEN BRADELY    PART.NO:PN-34137</t>
  </si>
  <si>
    <t>PART.NO:PN-34137 S.NO:005D68D0</t>
  </si>
  <si>
    <t>DHRIO COMMUNICATION INTERFACE MODULE,CATALOG/SERIES:1756-DHRIO/E</t>
  </si>
  <si>
    <t>MULTI MODE OPTICAL PATCH CORDS
ROUND EDGED</t>
  </si>
  <si>
    <t>SINGLE MODE OPTICAL PATCH CORDS 
SQURE EDGED</t>
  </si>
  <si>
    <t>51404391-375</t>
  </si>
  <si>
    <t>Serial I/F Module</t>
  </si>
  <si>
    <t>51198983-100</t>
  </si>
  <si>
    <t>CABLE SIM 3 METERS</t>
  </si>
  <si>
    <t>51309516-175</t>
  </si>
  <si>
    <t>SERIAL INTERFACE FTA POW. AD.</t>
  </si>
  <si>
    <t xml:space="preserve">51304465-200 </t>
  </si>
  <si>
    <t>LOW LEVEL MUX CABLE 66 CM</t>
  </si>
  <si>
    <t>51303932-476</t>
  </si>
  <si>
    <t>SER I/F MODBUS</t>
  </si>
  <si>
    <t>MODEL 168SM</t>
  </si>
  <si>
    <t xml:space="preserve">
Industrial RS-232/485/422 Interface Asynchronous fober modem for GEHO 1804 serial communication with terminal server from GE Fanuc PLC</t>
  </si>
  <si>
    <t>PART NO:51401135-350</t>
  </si>
  <si>
    <t>AC / DC DISTRIBUTION BOARD,  230VAC , REDUNDANT, CONFORMALLY COATED</t>
  </si>
  <si>
    <t>PART NO:CACC061012024</t>
  </si>
  <si>
    <t>DOT MATRIX PRINTER 132 COLOMN, MAKE :EPSON, MODEL : LQ1150</t>
  </si>
  <si>
    <t>PART NO:CACC43111165</t>
  </si>
  <si>
    <t>MS Windows 2003 Server with 5user license software</t>
  </si>
  <si>
    <t>86590130260</t>
  </si>
  <si>
    <t>PART NO:KFD2-UT2-Ex1</t>
  </si>
  <si>
    <t>P&amp; F UNIVERSAL CONVERTOR(R/I)</t>
  </si>
  <si>
    <t>P&amp;F-KFD2-CR4-1.20</t>
  </si>
  <si>
    <t>PART NO:P&amp;F-KFD2-CR4-1.20</t>
  </si>
  <si>
    <t>Signal multiplier , P&amp; F Make , KFD2-CR4-1.20</t>
  </si>
  <si>
    <t>SBRR2KFD2GS12W</t>
  </si>
  <si>
    <t>PART NO:
SBRR2KFD2GS12W</t>
  </si>
  <si>
    <t xml:space="preserve"> Trip Amplifer - P&amp;F,MODEL KFD2-GS-1.2W mA/ V</t>
  </si>
  <si>
    <t>TMP-RTD-J07T038</t>
  </si>
  <si>
    <t>PART NO:TMP-RTD-J07T038</t>
  </si>
  <si>
    <t>RTD</t>
  </si>
  <si>
    <t>PMIO IOP 2A GLASS FUSES</t>
  </si>
  <si>
    <t>51197593-100</t>
  </si>
  <si>
    <t>C-200 LITHIUM BATTERY</t>
  </si>
  <si>
    <t>FUSES FOR UPS SUPPLY 32 AMP</t>
  </si>
  <si>
    <t>FUSES FOR UPS SUPPLY 24 AMP</t>
  </si>
  <si>
    <t>FUSES FOR UPS SUPPLY 16 AMP</t>
  </si>
  <si>
    <t>RISHI ISOLATION AMPLIFIERS</t>
  </si>
  <si>
    <t>SM OPTICAL FIBER CABLE</t>
  </si>
  <si>
    <t>Process Rack</t>
  </si>
  <si>
    <t>IO Racks</t>
  </si>
  <si>
    <t>Enginnering Work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</si>
</sst>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mm/dd/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ourier New"/>
      <family val="3"/>
    </font>
    <font>
      <sz val="9"/>
      <name val="Courier New"/>
      <family val="3"/>
    </font>
    <font>
      <b/>
      <sz val="14"/>
      <name val="Courier New"/>
      <family val="3"/>
    </font>
    <font>
      <sz val="9"/>
      <color rgb="FF000000"/>
      <name val="Courier New"/>
      <family val="3"/>
    </font>
    <font>
      <b/>
      <sz val="9"/>
      <color rgb="FF000000"/>
      <name val="Courier New"/>
      <family val="3"/>
    </font>
    <font>
      <b/>
      <sz val="9"/>
      <color rgb="FFFF0000"/>
      <name val="Courier New"/>
      <family val="3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9"/>
      <color indexed="8"/>
      <name val="Tahoma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indexed="10"/>
      <name val="Tahoma"/>
      <family val="2"/>
    </font>
    <font>
      <sz val="9"/>
      <color indexed="8"/>
      <name val="Tahoma"/>
      <family val="2"/>
    </font>
    <font>
      <sz val="10"/>
      <color rgb="FF00008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969696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ill="0" applyBorder="0" applyAlignment="0" applyProtection="0"/>
  </cellStyleXfs>
  <cellXfs count="55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12" fillId="6" borderId="1" xfId="3" applyNumberFormat="1" applyFont="1" applyFill="1" applyBorder="1" applyAlignment="1" applyProtection="1">
      <alignment horizontal="center" vertical="center"/>
    </xf>
    <xf numFmtId="0" fontId="12" fillId="6" borderId="1" xfId="3" applyNumberFormat="1" applyFont="1" applyFill="1" applyBorder="1" applyAlignment="1" applyProtection="1">
      <alignment horizontal="left" vertical="center"/>
    </xf>
    <xf numFmtId="1" fontId="13" fillId="6" borderId="1" xfId="2" applyNumberFormat="1" applyFont="1" applyFill="1" applyBorder="1" applyAlignment="1" applyProtection="1">
      <alignment horizontal="center" vertical="center"/>
    </xf>
    <xf numFmtId="1" fontId="3" fillId="0" borderId="1" xfId="2" applyNumberFormat="1" applyFont="1" applyBorder="1" applyAlignment="1" applyProtection="1">
      <alignment horizontal="center" vertical="center"/>
    </xf>
    <xf numFmtId="0" fontId="4" fillId="0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1" fontId="5" fillId="2" borderId="1" xfId="2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 applyProtection="1">
      <alignment horizontal="center" vertical="center"/>
    </xf>
    <xf numFmtId="1" fontId="3" fillId="0" borderId="1" xfId="2" applyNumberFormat="1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1" fontId="7" fillId="0" borderId="1" xfId="2" applyNumberFormat="1" applyFont="1" applyBorder="1" applyAlignment="1" applyProtection="1">
      <alignment horizontal="center" vertical="center"/>
    </xf>
    <xf numFmtId="1" fontId="4" fillId="0" borderId="1" xfId="2" applyNumberFormat="1" applyFont="1" applyFill="1" applyBorder="1" applyAlignment="1" applyProtection="1">
      <alignment horizontal="center" vertical="center"/>
    </xf>
    <xf numFmtId="1" fontId="6" fillId="0" borderId="1" xfId="2" applyNumberFormat="1" applyFont="1" applyFill="1" applyBorder="1" applyAlignment="1" applyProtection="1">
      <alignment horizontal="center" vertical="center"/>
    </xf>
    <xf numFmtId="0" fontId="4" fillId="0" borderId="1" xfId="1" applyNumberFormat="1" applyFont="1" applyFill="1" applyBorder="1" applyAlignment="1" applyProtection="1">
      <alignment horizontal="left" vertical="center"/>
    </xf>
    <xf numFmtId="1" fontId="8" fillId="0" borderId="1" xfId="2" applyNumberFormat="1" applyFont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1" fontId="3" fillId="4" borderId="1" xfId="2" applyNumberFormat="1" applyFont="1" applyFill="1" applyBorder="1" applyAlignment="1" applyProtection="1">
      <alignment horizontal="center" vertical="center"/>
    </xf>
    <xf numFmtId="1" fontId="4" fillId="4" borderId="1" xfId="2" applyNumberFormat="1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 applyProtection="1">
      <alignment horizontal="center" vertical="center"/>
    </xf>
    <xf numFmtId="1" fontId="5" fillId="5" borderId="1" xfId="2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2" applyNumberFormat="1" applyFont="1" applyBorder="1" applyAlignment="1" applyProtection="1">
      <alignment horizontal="left" vertical="center"/>
    </xf>
    <xf numFmtId="1" fontId="4" fillId="0" borderId="1" xfId="2" applyNumberFormat="1" applyFont="1" applyFill="1" applyBorder="1" applyAlignment="1" applyProtection="1">
      <alignment horizontal="left" vertical="center"/>
    </xf>
    <xf numFmtId="1" fontId="8" fillId="0" borderId="1" xfId="2" applyNumberFormat="1" applyFont="1" applyFill="1" applyBorder="1" applyAlignment="1" applyProtection="1">
      <alignment horizontal="center" vertical="center"/>
    </xf>
    <xf numFmtId="1" fontId="8" fillId="0" borderId="1" xfId="0" applyNumberFormat="1" applyFont="1" applyBorder="1" applyAlignment="1" applyProtection="1">
      <alignment horizontal="center" vertical="center"/>
    </xf>
    <xf numFmtId="0" fontId="4" fillId="4" borderId="1" xfId="1" applyNumberFormat="1" applyFont="1" applyFill="1" applyBorder="1" applyAlignment="1" applyProtection="1">
      <alignment horizontal="center" vertical="center"/>
    </xf>
    <xf numFmtId="0" fontId="4" fillId="4" borderId="1" xfId="1" applyNumberFormat="1" applyFont="1" applyFill="1" applyBorder="1" applyAlignment="1" applyProtection="1">
      <alignment horizontal="left" vertical="center"/>
    </xf>
    <xf numFmtId="1" fontId="8" fillId="4" borderId="1" xfId="2" applyNumberFormat="1" applyFont="1" applyFill="1" applyBorder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</xf>
    <xf numFmtId="49" fontId="0" fillId="0" borderId="1" xfId="0" applyNumberFormat="1" applyFont="1" applyFill="1" applyBorder="1" applyAlignment="1">
      <alignment horizontal="left" vertical="center"/>
    </xf>
    <xf numFmtId="1" fontId="18" fillId="2" borderId="1" xfId="2" applyNumberFormat="1" applyFont="1" applyFill="1" applyBorder="1" applyAlignment="1" applyProtection="1">
      <alignment horizontal="center" vertic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">
    <cellStyle name="Comma" xfId="1" builtinId="3"/>
    <cellStyle name="Comma_BOM_R2" xfId="3"/>
    <cellStyle name="Normal" xfId="0" builtinId="0"/>
    <cellStyle name="Normal_BOM_R2" xfId="2"/>
  </cellStyles>
  <dxfs count="3">
    <dxf>
      <font>
        <b val="0"/>
        <condense val="0"/>
        <extend val="0"/>
        <color rgb="FFFFFFFF"/>
      </font>
    </dxf>
    <dxf>
      <font>
        <b val="0"/>
        <condense val="0"/>
        <extend val="0"/>
        <color rgb="FFFFFFFF"/>
      </font>
    </dxf>
    <dxf>
      <font>
        <b val="0"/>
        <condense val="0"/>
        <extend val="0"/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93"/>
  <sheetViews>
    <sheetView tabSelected="1" topLeftCell="A31" workbookViewId="0">
      <selection activeCell="E50" sqref="E50"/>
    </sheetView>
  </sheetViews>
  <sheetFormatPr defaultRowHeight="15" x14ac:dyDescent="0.25"/>
  <cols>
    <col min="1" max="1" width="6.140625" style="52" bestFit="1" customWidth="1"/>
    <col min="2" max="2" width="24.42578125" style="52" bestFit="1" customWidth="1"/>
    <col min="3" max="3" width="34.85546875" style="52" bestFit="1" customWidth="1"/>
    <col min="4" max="4" width="31.7109375" style="52" bestFit="1" customWidth="1"/>
    <col min="5" max="5" width="129.85546875" style="52" bestFit="1" customWidth="1"/>
    <col min="6" max="6" width="8" style="52" bestFit="1" customWidth="1"/>
    <col min="7" max="7" width="5.28515625" style="52" bestFit="1" customWidth="1"/>
    <col min="8" max="9" width="5.5703125" style="52" bestFit="1" customWidth="1"/>
    <col min="10" max="10" width="4.85546875" style="52" bestFit="1" customWidth="1"/>
    <col min="11" max="11" width="6.140625" style="52" bestFit="1" customWidth="1"/>
    <col min="12" max="18" width="5.5703125" style="52" bestFit="1" customWidth="1"/>
    <col min="19" max="19" width="10.7109375" style="52" bestFit="1" customWidth="1"/>
  </cols>
  <sheetData>
    <row r="1" spans="1:19" x14ac:dyDescent="0.25">
      <c r="A1" s="53" t="s">
        <v>220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ht="18" x14ac:dyDescent="0.25">
      <c r="A2" s="17" t="s">
        <v>81</v>
      </c>
      <c r="B2" s="17" t="s">
        <v>82</v>
      </c>
      <c r="C2" s="17" t="s">
        <v>83</v>
      </c>
      <c r="D2" s="17" t="s">
        <v>84</v>
      </c>
      <c r="E2" s="18" t="s">
        <v>85</v>
      </c>
      <c r="F2" s="17" t="s">
        <v>86</v>
      </c>
      <c r="G2" s="17" t="s">
        <v>87</v>
      </c>
      <c r="H2" s="17" t="s">
        <v>88</v>
      </c>
      <c r="I2" s="17" t="s">
        <v>89</v>
      </c>
      <c r="J2" s="17" t="s">
        <v>90</v>
      </c>
      <c r="K2" s="17" t="s">
        <v>91</v>
      </c>
      <c r="L2" s="17" t="s">
        <v>92</v>
      </c>
      <c r="M2" s="17" t="s">
        <v>93</v>
      </c>
      <c r="N2" s="17" t="s">
        <v>94</v>
      </c>
      <c r="O2" s="17" t="s">
        <v>95</v>
      </c>
      <c r="P2" s="17" t="s">
        <v>96</v>
      </c>
      <c r="Q2" s="17" t="s">
        <v>97</v>
      </c>
      <c r="R2" s="17" t="s">
        <v>98</v>
      </c>
      <c r="S2" s="19" t="s">
        <v>99</v>
      </c>
    </row>
    <row r="3" spans="1:19" ht="19.5" x14ac:dyDescent="0.25">
      <c r="A3" s="20">
        <v>1</v>
      </c>
      <c r="B3" s="20">
        <v>86592170530</v>
      </c>
      <c r="C3" s="21" t="s">
        <v>0</v>
      </c>
      <c r="D3" s="21" t="s">
        <v>1</v>
      </c>
      <c r="E3" s="22" t="s">
        <v>2</v>
      </c>
      <c r="F3" s="20" t="s">
        <v>3</v>
      </c>
      <c r="G3" s="1" t="s">
        <v>4</v>
      </c>
      <c r="H3" s="1">
        <v>4</v>
      </c>
      <c r="I3" s="1">
        <v>2</v>
      </c>
      <c r="J3" s="1">
        <v>0</v>
      </c>
      <c r="K3" s="1">
        <v>1</v>
      </c>
      <c r="L3" s="1">
        <v>6</v>
      </c>
      <c r="M3" s="1">
        <v>0</v>
      </c>
      <c r="N3" s="1">
        <v>6</v>
      </c>
      <c r="O3" s="1">
        <v>6</v>
      </c>
      <c r="P3" s="1">
        <v>6</v>
      </c>
      <c r="Q3" s="1">
        <v>2</v>
      </c>
      <c r="R3" s="1">
        <v>2</v>
      </c>
      <c r="S3" s="23">
        <f t="shared" ref="S3:S30" si="0">SUM(H3:R3)</f>
        <v>35</v>
      </c>
    </row>
    <row r="4" spans="1:19" ht="19.5" x14ac:dyDescent="0.25">
      <c r="A4" s="20">
        <v>2</v>
      </c>
      <c r="B4" s="20">
        <v>86592176220</v>
      </c>
      <c r="C4" s="21" t="s">
        <v>5</v>
      </c>
      <c r="D4" s="21" t="s">
        <v>5</v>
      </c>
      <c r="E4" s="22" t="s">
        <v>6</v>
      </c>
      <c r="F4" s="2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3">
        <f>SUM(H3:R3)</f>
        <v>35</v>
      </c>
    </row>
    <row r="5" spans="1:19" ht="19.5" x14ac:dyDescent="0.25">
      <c r="A5" s="20">
        <v>3</v>
      </c>
      <c r="B5" s="20">
        <v>86592176460</v>
      </c>
      <c r="C5" s="21" t="s">
        <v>7</v>
      </c>
      <c r="D5" s="21" t="s">
        <v>8</v>
      </c>
      <c r="E5" s="22" t="s">
        <v>9</v>
      </c>
      <c r="F5" s="20" t="s">
        <v>3</v>
      </c>
      <c r="G5" s="1" t="s">
        <v>4</v>
      </c>
      <c r="H5" s="1">
        <v>4</v>
      </c>
      <c r="I5" s="1">
        <v>2</v>
      </c>
      <c r="J5" s="1">
        <v>0</v>
      </c>
      <c r="K5" s="1">
        <v>1</v>
      </c>
      <c r="L5" s="1">
        <v>6</v>
      </c>
      <c r="M5" s="1">
        <v>0</v>
      </c>
      <c r="N5" s="1">
        <v>6</v>
      </c>
      <c r="O5" s="1">
        <v>6</v>
      </c>
      <c r="P5" s="1">
        <v>6</v>
      </c>
      <c r="Q5" s="1">
        <v>2</v>
      </c>
      <c r="R5" s="1">
        <v>2</v>
      </c>
      <c r="S5" s="23">
        <f t="shared" si="0"/>
        <v>35</v>
      </c>
    </row>
    <row r="6" spans="1:19" ht="19.5" x14ac:dyDescent="0.25">
      <c r="A6" s="20">
        <v>4</v>
      </c>
      <c r="B6" s="20">
        <v>86592171030</v>
      </c>
      <c r="C6" s="21" t="s">
        <v>10</v>
      </c>
      <c r="D6" s="21" t="s">
        <v>11</v>
      </c>
      <c r="E6" s="22" t="s">
        <v>12</v>
      </c>
      <c r="F6" s="20" t="s">
        <v>3</v>
      </c>
      <c r="G6" s="1" t="s">
        <v>4</v>
      </c>
      <c r="H6" s="1">
        <v>8</v>
      </c>
      <c r="I6" s="1">
        <v>2</v>
      </c>
      <c r="J6" s="1">
        <v>0</v>
      </c>
      <c r="K6" s="1">
        <v>1</v>
      </c>
      <c r="L6" s="1">
        <v>10</v>
      </c>
      <c r="M6" s="1">
        <v>0</v>
      </c>
      <c r="N6" s="1">
        <v>10</v>
      </c>
      <c r="O6" s="1">
        <v>8</v>
      </c>
      <c r="P6" s="1">
        <v>12</v>
      </c>
      <c r="Q6" s="1">
        <v>2</v>
      </c>
      <c r="R6" s="1">
        <v>2</v>
      </c>
      <c r="S6" s="23">
        <f t="shared" si="0"/>
        <v>55</v>
      </c>
    </row>
    <row r="7" spans="1:19" ht="19.5" x14ac:dyDescent="0.25">
      <c r="A7" s="20">
        <v>5</v>
      </c>
      <c r="B7" s="20">
        <v>86592170840</v>
      </c>
      <c r="C7" s="24" t="s">
        <v>13</v>
      </c>
      <c r="D7" s="21" t="s">
        <v>14</v>
      </c>
      <c r="E7" s="22" t="s">
        <v>15</v>
      </c>
      <c r="F7" s="20" t="s">
        <v>3</v>
      </c>
      <c r="G7" s="1" t="s">
        <v>4</v>
      </c>
      <c r="H7" s="1">
        <v>4</v>
      </c>
      <c r="I7" s="1">
        <v>2</v>
      </c>
      <c r="J7" s="1">
        <v>0</v>
      </c>
      <c r="K7" s="1">
        <v>0</v>
      </c>
      <c r="L7" s="1">
        <v>6</v>
      </c>
      <c r="M7" s="1">
        <v>0</v>
      </c>
      <c r="N7" s="1">
        <v>6</v>
      </c>
      <c r="O7" s="1">
        <v>6</v>
      </c>
      <c r="P7" s="1">
        <v>6</v>
      </c>
      <c r="Q7" s="1">
        <v>2</v>
      </c>
      <c r="R7" s="1">
        <v>2</v>
      </c>
      <c r="S7" s="23">
        <f t="shared" si="0"/>
        <v>34</v>
      </c>
    </row>
    <row r="8" spans="1:19" ht="19.5" x14ac:dyDescent="0.25">
      <c r="A8" s="20">
        <v>6</v>
      </c>
      <c r="B8" s="20">
        <v>86592177340</v>
      </c>
      <c r="C8" s="24" t="s">
        <v>16</v>
      </c>
      <c r="D8" s="21" t="s">
        <v>17</v>
      </c>
      <c r="E8" s="22" t="s">
        <v>18</v>
      </c>
      <c r="F8" s="20" t="s">
        <v>3</v>
      </c>
      <c r="G8" s="1" t="s">
        <v>4</v>
      </c>
      <c r="H8" s="1">
        <v>2</v>
      </c>
      <c r="I8" s="1">
        <v>1</v>
      </c>
      <c r="J8" s="1">
        <v>0</v>
      </c>
      <c r="K8" s="1">
        <v>0</v>
      </c>
      <c r="L8" s="1">
        <v>3</v>
      </c>
      <c r="M8" s="1">
        <v>0</v>
      </c>
      <c r="N8" s="20">
        <v>3</v>
      </c>
      <c r="O8" s="1">
        <v>3</v>
      </c>
      <c r="P8" s="1">
        <v>3</v>
      </c>
      <c r="Q8" s="1">
        <v>1</v>
      </c>
      <c r="R8" s="1">
        <v>1</v>
      </c>
      <c r="S8" s="23">
        <f t="shared" si="0"/>
        <v>17</v>
      </c>
    </row>
    <row r="9" spans="1:19" ht="19.5" x14ac:dyDescent="0.25">
      <c r="A9" s="20">
        <v>7</v>
      </c>
      <c r="B9" s="20">
        <v>86592170910</v>
      </c>
      <c r="C9" s="21" t="s">
        <v>19</v>
      </c>
      <c r="D9" s="21" t="s">
        <v>20</v>
      </c>
      <c r="E9" s="22" t="s">
        <v>21</v>
      </c>
      <c r="F9" s="20" t="s">
        <v>3</v>
      </c>
      <c r="G9" s="1" t="s">
        <v>4</v>
      </c>
      <c r="H9" s="1">
        <v>4</v>
      </c>
      <c r="I9" s="1">
        <v>2</v>
      </c>
      <c r="J9" s="1">
        <v>0</v>
      </c>
      <c r="K9" s="1">
        <v>1</v>
      </c>
      <c r="L9" s="1">
        <v>6</v>
      </c>
      <c r="M9" s="1">
        <v>0</v>
      </c>
      <c r="N9" s="1">
        <v>7</v>
      </c>
      <c r="O9" s="1">
        <v>6</v>
      </c>
      <c r="P9" s="1">
        <v>6</v>
      </c>
      <c r="Q9" s="1">
        <v>2</v>
      </c>
      <c r="R9" s="1">
        <v>2</v>
      </c>
      <c r="S9" s="23">
        <f t="shared" si="0"/>
        <v>36</v>
      </c>
    </row>
    <row r="10" spans="1:19" ht="19.5" x14ac:dyDescent="0.25">
      <c r="A10" s="20">
        <v>8</v>
      </c>
      <c r="B10" s="20">
        <v>86592175270</v>
      </c>
      <c r="C10" s="21" t="s">
        <v>22</v>
      </c>
      <c r="D10" s="21" t="s">
        <v>22</v>
      </c>
      <c r="E10" s="22" t="s">
        <v>23</v>
      </c>
      <c r="F10" s="20" t="s">
        <v>3</v>
      </c>
      <c r="G10" s="1" t="s">
        <v>4</v>
      </c>
      <c r="H10" s="1">
        <v>8</v>
      </c>
      <c r="I10" s="1">
        <v>2</v>
      </c>
      <c r="J10" s="1">
        <v>0</v>
      </c>
      <c r="K10" s="1">
        <v>2</v>
      </c>
      <c r="L10" s="1">
        <v>18</v>
      </c>
      <c r="M10" s="1">
        <v>8</v>
      </c>
      <c r="N10" s="1">
        <v>10</v>
      </c>
      <c r="O10" s="1">
        <v>16</v>
      </c>
      <c r="P10" s="1">
        <v>14</v>
      </c>
      <c r="Q10" s="1">
        <v>2</v>
      </c>
      <c r="R10" s="1">
        <v>2</v>
      </c>
      <c r="S10" s="23">
        <f t="shared" si="0"/>
        <v>82</v>
      </c>
    </row>
    <row r="11" spans="1:19" ht="19.5" x14ac:dyDescent="0.25">
      <c r="A11" s="20">
        <v>9</v>
      </c>
      <c r="B11" s="20"/>
      <c r="C11" s="21" t="s">
        <v>24</v>
      </c>
      <c r="D11" s="21" t="s">
        <v>24</v>
      </c>
      <c r="E11" s="22" t="s">
        <v>25</v>
      </c>
      <c r="F11" s="20"/>
      <c r="G11" s="1" t="s">
        <v>4</v>
      </c>
      <c r="H11" s="1">
        <v>12</v>
      </c>
      <c r="I11" s="1">
        <v>3</v>
      </c>
      <c r="J11" s="1">
        <v>0</v>
      </c>
      <c r="K11" s="1">
        <v>3</v>
      </c>
      <c r="L11" s="25">
        <v>27</v>
      </c>
      <c r="M11" s="25">
        <v>12</v>
      </c>
      <c r="N11" s="25">
        <v>15</v>
      </c>
      <c r="O11" s="25">
        <v>24</v>
      </c>
      <c r="P11" s="25">
        <v>21</v>
      </c>
      <c r="Q11" s="1">
        <v>3</v>
      </c>
      <c r="R11" s="1">
        <v>3</v>
      </c>
      <c r="S11" s="23">
        <f t="shared" si="0"/>
        <v>123</v>
      </c>
    </row>
    <row r="12" spans="1:19" ht="19.5" x14ac:dyDescent="0.25">
      <c r="A12" s="20">
        <v>10</v>
      </c>
      <c r="B12" s="20">
        <v>86592173410</v>
      </c>
      <c r="C12" s="21" t="s">
        <v>26</v>
      </c>
      <c r="D12" s="21" t="s">
        <v>27</v>
      </c>
      <c r="E12" s="22" t="s">
        <v>28</v>
      </c>
      <c r="F12" s="1" t="s">
        <v>3</v>
      </c>
      <c r="G12" s="26" t="s">
        <v>4</v>
      </c>
      <c r="H12" s="1">
        <v>71</v>
      </c>
      <c r="I12" s="1">
        <v>10</v>
      </c>
      <c r="J12" s="1">
        <v>0</v>
      </c>
      <c r="K12" s="1">
        <v>1</v>
      </c>
      <c r="L12" s="27">
        <v>121</v>
      </c>
      <c r="M12" s="27">
        <v>59</v>
      </c>
      <c r="N12" s="27">
        <v>45</v>
      </c>
      <c r="O12" s="27">
        <v>88</v>
      </c>
      <c r="P12" s="27">
        <v>108</v>
      </c>
      <c r="Q12" s="27">
        <v>16</v>
      </c>
      <c r="R12" s="27">
        <v>25</v>
      </c>
      <c r="S12" s="23">
        <f t="shared" si="0"/>
        <v>544</v>
      </c>
    </row>
    <row r="13" spans="1:19" ht="19.5" x14ac:dyDescent="0.25">
      <c r="A13" s="20">
        <v>11</v>
      </c>
      <c r="B13" s="20">
        <v>86592171720</v>
      </c>
      <c r="C13" s="21" t="s">
        <v>29</v>
      </c>
      <c r="D13" s="21" t="s">
        <v>30</v>
      </c>
      <c r="E13" s="22" t="s">
        <v>31</v>
      </c>
      <c r="F13" s="1" t="s">
        <v>3</v>
      </c>
      <c r="G13" s="26" t="s">
        <v>4</v>
      </c>
      <c r="H13" s="1">
        <v>20</v>
      </c>
      <c r="I13" s="1">
        <v>4</v>
      </c>
      <c r="J13" s="1">
        <v>0</v>
      </c>
      <c r="K13" s="1">
        <v>1</v>
      </c>
      <c r="L13" s="27">
        <v>62</v>
      </c>
      <c r="M13" s="27">
        <v>28</v>
      </c>
      <c r="N13" s="27">
        <v>30</v>
      </c>
      <c r="O13" s="27">
        <v>36</v>
      </c>
      <c r="P13" s="27">
        <v>40</v>
      </c>
      <c r="Q13" s="27">
        <v>8</v>
      </c>
      <c r="R13" s="27">
        <v>16</v>
      </c>
      <c r="S13" s="23">
        <f t="shared" si="0"/>
        <v>245</v>
      </c>
    </row>
    <row r="14" spans="1:19" ht="19.5" x14ac:dyDescent="0.25">
      <c r="A14" s="20">
        <v>12</v>
      </c>
      <c r="B14" s="20">
        <v>86592173340</v>
      </c>
      <c r="C14" s="21" t="s">
        <v>32</v>
      </c>
      <c r="D14" s="21" t="s">
        <v>33</v>
      </c>
      <c r="E14" s="22" t="s">
        <v>34</v>
      </c>
      <c r="F14" s="1" t="s">
        <v>3</v>
      </c>
      <c r="G14" s="27" t="s">
        <v>35</v>
      </c>
      <c r="H14" s="1">
        <v>9</v>
      </c>
      <c r="I14" s="1">
        <v>7</v>
      </c>
      <c r="J14" s="1">
        <v>0</v>
      </c>
      <c r="K14" s="1">
        <v>1</v>
      </c>
      <c r="L14" s="27">
        <v>7</v>
      </c>
      <c r="M14" s="27">
        <v>4</v>
      </c>
      <c r="N14" s="27">
        <v>8</v>
      </c>
      <c r="O14" s="27">
        <v>19</v>
      </c>
      <c r="P14" s="27">
        <v>18</v>
      </c>
      <c r="Q14" s="27">
        <v>3</v>
      </c>
      <c r="R14" s="27">
        <v>3</v>
      </c>
      <c r="S14" s="23">
        <f t="shared" si="0"/>
        <v>79</v>
      </c>
    </row>
    <row r="15" spans="1:19" ht="19.5" x14ac:dyDescent="0.25">
      <c r="A15" s="20">
        <v>13</v>
      </c>
      <c r="B15" s="20">
        <v>86592173270</v>
      </c>
      <c r="C15" s="21" t="s">
        <v>36</v>
      </c>
      <c r="D15" s="21" t="s">
        <v>37</v>
      </c>
      <c r="E15" s="22" t="s">
        <v>38</v>
      </c>
      <c r="F15" s="1" t="s">
        <v>3</v>
      </c>
      <c r="G15" s="27" t="s">
        <v>35</v>
      </c>
      <c r="H15" s="1">
        <v>6</v>
      </c>
      <c r="I15" s="1">
        <v>4</v>
      </c>
      <c r="J15" s="1">
        <v>0</v>
      </c>
      <c r="K15" s="1">
        <v>1</v>
      </c>
      <c r="L15" s="27">
        <v>5</v>
      </c>
      <c r="M15" s="27">
        <v>1</v>
      </c>
      <c r="N15" s="27">
        <v>3</v>
      </c>
      <c r="O15" s="27">
        <v>8</v>
      </c>
      <c r="P15" s="27">
        <v>10</v>
      </c>
      <c r="Q15" s="27">
        <v>3</v>
      </c>
      <c r="R15" s="27">
        <v>3</v>
      </c>
      <c r="S15" s="23">
        <f t="shared" si="0"/>
        <v>44</v>
      </c>
    </row>
    <row r="16" spans="1:19" ht="19.5" x14ac:dyDescent="0.25">
      <c r="A16" s="20">
        <v>14</v>
      </c>
      <c r="B16" s="20"/>
      <c r="C16" s="2" t="s">
        <v>39</v>
      </c>
      <c r="D16" s="2" t="s">
        <v>39</v>
      </c>
      <c r="E16" s="28" t="s">
        <v>40</v>
      </c>
      <c r="F16" s="29" t="s">
        <v>3</v>
      </c>
      <c r="G16" s="26" t="s">
        <v>4</v>
      </c>
      <c r="H16" s="1">
        <v>4</v>
      </c>
      <c r="I16" s="1">
        <v>2</v>
      </c>
      <c r="J16" s="1">
        <v>0</v>
      </c>
      <c r="K16" s="1">
        <v>1</v>
      </c>
      <c r="L16" s="1">
        <v>0</v>
      </c>
      <c r="M16" s="1">
        <v>2</v>
      </c>
      <c r="N16" s="1">
        <v>6</v>
      </c>
      <c r="O16" s="1">
        <v>4</v>
      </c>
      <c r="P16" s="1">
        <v>6</v>
      </c>
      <c r="Q16" s="1">
        <v>0</v>
      </c>
      <c r="R16" s="1">
        <v>0</v>
      </c>
      <c r="S16" s="23">
        <f t="shared" si="0"/>
        <v>25</v>
      </c>
    </row>
    <row r="17" spans="1:19" ht="19.5" x14ac:dyDescent="0.25">
      <c r="A17" s="20">
        <v>15</v>
      </c>
      <c r="B17" s="20"/>
      <c r="C17" s="21" t="s">
        <v>41</v>
      </c>
      <c r="D17" s="2" t="s">
        <v>41</v>
      </c>
      <c r="E17" s="28" t="s">
        <v>42</v>
      </c>
      <c r="F17" s="29" t="s">
        <v>3</v>
      </c>
      <c r="G17" s="3" t="s">
        <v>4</v>
      </c>
      <c r="H17" s="1">
        <v>4</v>
      </c>
      <c r="I17" s="1">
        <v>0</v>
      </c>
      <c r="J17" s="1">
        <v>0</v>
      </c>
      <c r="K17" s="1">
        <v>0</v>
      </c>
      <c r="L17" s="4">
        <v>10</v>
      </c>
      <c r="M17" s="4">
        <v>4</v>
      </c>
      <c r="N17" s="4">
        <v>4</v>
      </c>
      <c r="O17" s="4">
        <v>10</v>
      </c>
      <c r="P17" s="4">
        <v>6</v>
      </c>
      <c r="Q17" s="3">
        <v>2</v>
      </c>
      <c r="R17" s="3">
        <v>2</v>
      </c>
      <c r="S17" s="23">
        <f t="shared" si="0"/>
        <v>42</v>
      </c>
    </row>
    <row r="18" spans="1:19" ht="19.5" x14ac:dyDescent="0.25">
      <c r="A18" s="20">
        <v>16</v>
      </c>
      <c r="B18" s="20">
        <v>86592177270</v>
      </c>
      <c r="C18" s="30" t="s">
        <v>43</v>
      </c>
      <c r="D18" s="31" t="s">
        <v>44</v>
      </c>
      <c r="E18" s="28" t="s">
        <v>45</v>
      </c>
      <c r="F18" s="29" t="s">
        <v>3</v>
      </c>
      <c r="G18" s="3" t="s">
        <v>35</v>
      </c>
      <c r="H18" s="1">
        <v>8</v>
      </c>
      <c r="I18" s="1">
        <v>2</v>
      </c>
      <c r="J18" s="1">
        <v>0</v>
      </c>
      <c r="K18" s="1">
        <v>1</v>
      </c>
      <c r="L18" s="3">
        <v>10</v>
      </c>
      <c r="M18" s="3">
        <v>0</v>
      </c>
      <c r="N18" s="3">
        <v>10</v>
      </c>
      <c r="O18" s="3">
        <v>8</v>
      </c>
      <c r="P18" s="3">
        <v>12</v>
      </c>
      <c r="Q18" s="3">
        <v>2</v>
      </c>
      <c r="R18" s="3">
        <v>2</v>
      </c>
      <c r="S18" s="23">
        <f t="shared" si="0"/>
        <v>55</v>
      </c>
    </row>
    <row r="19" spans="1:19" ht="19.5" x14ac:dyDescent="0.25">
      <c r="A19" s="20">
        <v>17</v>
      </c>
      <c r="B19" s="20">
        <v>86592170770</v>
      </c>
      <c r="C19" s="21" t="s">
        <v>46</v>
      </c>
      <c r="D19" s="21" t="s">
        <v>46</v>
      </c>
      <c r="E19" s="32" t="s">
        <v>47</v>
      </c>
      <c r="F19" s="5" t="s">
        <v>3</v>
      </c>
      <c r="G19" s="6" t="s">
        <v>4</v>
      </c>
      <c r="H19" s="1">
        <v>4</v>
      </c>
      <c r="I19" s="1">
        <v>0</v>
      </c>
      <c r="J19" s="1">
        <v>0</v>
      </c>
      <c r="K19" s="1">
        <v>0</v>
      </c>
      <c r="L19" s="3">
        <v>2</v>
      </c>
      <c r="M19" s="3">
        <v>0</v>
      </c>
      <c r="N19" s="3">
        <v>3</v>
      </c>
      <c r="O19" s="3">
        <v>2</v>
      </c>
      <c r="P19" s="3">
        <v>2</v>
      </c>
      <c r="Q19" s="3">
        <v>2</v>
      </c>
      <c r="R19" s="3">
        <v>2</v>
      </c>
      <c r="S19" s="23">
        <f t="shared" si="0"/>
        <v>17</v>
      </c>
    </row>
    <row r="20" spans="1:19" ht="19.5" x14ac:dyDescent="0.25">
      <c r="A20" s="20">
        <v>18</v>
      </c>
      <c r="B20" s="20">
        <v>86592170460</v>
      </c>
      <c r="C20" s="21" t="s">
        <v>48</v>
      </c>
      <c r="D20" s="21" t="s">
        <v>48</v>
      </c>
      <c r="E20" s="32" t="s">
        <v>49</v>
      </c>
      <c r="F20" s="5" t="s">
        <v>3</v>
      </c>
      <c r="G20" s="6" t="s">
        <v>4</v>
      </c>
      <c r="H20" s="1">
        <v>0</v>
      </c>
      <c r="I20" s="1">
        <v>0</v>
      </c>
      <c r="J20" s="1">
        <v>0</v>
      </c>
      <c r="K20" s="1">
        <v>0</v>
      </c>
      <c r="L20" s="3">
        <v>0</v>
      </c>
      <c r="M20" s="3">
        <v>0</v>
      </c>
      <c r="N20" s="3">
        <v>1</v>
      </c>
      <c r="O20" s="3">
        <v>0</v>
      </c>
      <c r="P20" s="3">
        <v>0</v>
      </c>
      <c r="Q20" s="3">
        <v>0</v>
      </c>
      <c r="R20" s="3">
        <v>0</v>
      </c>
      <c r="S20" s="23">
        <f t="shared" si="0"/>
        <v>1</v>
      </c>
    </row>
    <row r="21" spans="1:19" ht="19.5" x14ac:dyDescent="0.25">
      <c r="A21" s="20">
        <v>19</v>
      </c>
      <c r="B21" s="20"/>
      <c r="C21" s="21" t="s">
        <v>50</v>
      </c>
      <c r="D21" s="21" t="s">
        <v>50</v>
      </c>
      <c r="E21" s="32" t="s">
        <v>51</v>
      </c>
      <c r="F21" s="5" t="s">
        <v>3</v>
      </c>
      <c r="G21" s="6" t="s">
        <v>4</v>
      </c>
      <c r="H21" s="1">
        <v>6</v>
      </c>
      <c r="I21" s="1">
        <v>0</v>
      </c>
      <c r="J21" s="1">
        <v>0</v>
      </c>
      <c r="K21" s="1">
        <v>0</v>
      </c>
      <c r="L21" s="3">
        <v>6</v>
      </c>
      <c r="M21" s="3">
        <v>0</v>
      </c>
      <c r="N21" s="3">
        <v>6</v>
      </c>
      <c r="O21" s="3">
        <v>6</v>
      </c>
      <c r="P21" s="3">
        <v>6</v>
      </c>
      <c r="Q21" s="3">
        <v>6</v>
      </c>
      <c r="R21" s="3">
        <v>6</v>
      </c>
      <c r="S21" s="23">
        <f t="shared" si="0"/>
        <v>42</v>
      </c>
    </row>
    <row r="22" spans="1:19" ht="19.5" x14ac:dyDescent="0.25">
      <c r="A22" s="20">
        <v>20</v>
      </c>
      <c r="B22" s="20"/>
      <c r="C22" s="21" t="s">
        <v>52</v>
      </c>
      <c r="D22" s="21" t="s">
        <v>52</v>
      </c>
      <c r="E22" s="32" t="s">
        <v>53</v>
      </c>
      <c r="F22" s="33" t="s">
        <v>3</v>
      </c>
      <c r="G22" s="7" t="s">
        <v>4</v>
      </c>
      <c r="H22" s="1">
        <v>0</v>
      </c>
      <c r="I22" s="1">
        <v>0</v>
      </c>
      <c r="J22" s="1">
        <v>0</v>
      </c>
      <c r="K22" s="1">
        <v>0</v>
      </c>
      <c r="L22" s="3">
        <v>6</v>
      </c>
      <c r="M22" s="3">
        <v>0</v>
      </c>
      <c r="N22" s="3">
        <v>2</v>
      </c>
      <c r="O22" s="3">
        <v>6</v>
      </c>
      <c r="P22" s="3">
        <v>6</v>
      </c>
      <c r="Q22" s="3">
        <v>0</v>
      </c>
      <c r="R22" s="3">
        <v>0</v>
      </c>
      <c r="S22" s="23">
        <f t="shared" si="0"/>
        <v>20</v>
      </c>
    </row>
    <row r="23" spans="1:19" ht="19.5" x14ac:dyDescent="0.25">
      <c r="A23" s="20">
        <v>21</v>
      </c>
      <c r="B23" s="20" t="s">
        <v>54</v>
      </c>
      <c r="C23" s="21" t="s">
        <v>55</v>
      </c>
      <c r="D23" s="21" t="s">
        <v>55</v>
      </c>
      <c r="E23" s="32" t="s">
        <v>56</v>
      </c>
      <c r="F23" s="5" t="s">
        <v>3</v>
      </c>
      <c r="G23" s="6" t="s">
        <v>4</v>
      </c>
      <c r="H23" s="1">
        <v>8</v>
      </c>
      <c r="I23" s="1">
        <v>0</v>
      </c>
      <c r="J23" s="1">
        <v>0</v>
      </c>
      <c r="K23" s="1">
        <v>0</v>
      </c>
      <c r="L23" s="3">
        <v>4</v>
      </c>
      <c r="M23" s="3">
        <v>0</v>
      </c>
      <c r="N23" s="3">
        <v>6</v>
      </c>
      <c r="O23" s="3">
        <v>4</v>
      </c>
      <c r="P23" s="3">
        <v>4</v>
      </c>
      <c r="Q23" s="3">
        <v>4</v>
      </c>
      <c r="R23" s="3">
        <v>4</v>
      </c>
      <c r="S23" s="23">
        <f t="shared" si="0"/>
        <v>34</v>
      </c>
    </row>
    <row r="24" spans="1:19" ht="19.5" x14ac:dyDescent="0.25">
      <c r="A24" s="20">
        <v>22</v>
      </c>
      <c r="B24" s="20"/>
      <c r="C24" s="21" t="s">
        <v>57</v>
      </c>
      <c r="D24" s="21" t="s">
        <v>57</v>
      </c>
      <c r="E24" s="32" t="s">
        <v>58</v>
      </c>
      <c r="F24" s="5" t="s">
        <v>3</v>
      </c>
      <c r="G24" s="6" t="s">
        <v>4</v>
      </c>
      <c r="H24" s="1">
        <v>4</v>
      </c>
      <c r="I24" s="1">
        <v>0</v>
      </c>
      <c r="J24" s="1">
        <v>0</v>
      </c>
      <c r="K24" s="1">
        <v>0</v>
      </c>
      <c r="L24" s="3">
        <v>4</v>
      </c>
      <c r="M24" s="3">
        <v>0</v>
      </c>
      <c r="N24" s="3">
        <v>6</v>
      </c>
      <c r="O24" s="3">
        <v>4</v>
      </c>
      <c r="P24" s="3">
        <v>4</v>
      </c>
      <c r="Q24" s="3">
        <v>4</v>
      </c>
      <c r="R24" s="3">
        <v>4</v>
      </c>
      <c r="S24" s="23">
        <f t="shared" si="0"/>
        <v>30</v>
      </c>
    </row>
    <row r="25" spans="1:19" ht="19.5" x14ac:dyDescent="0.25">
      <c r="A25" s="20">
        <v>23</v>
      </c>
      <c r="B25" s="20">
        <v>86592176390</v>
      </c>
      <c r="C25" s="30" t="s">
        <v>59</v>
      </c>
      <c r="D25" s="30" t="s">
        <v>59</v>
      </c>
      <c r="E25" s="22" t="s">
        <v>60</v>
      </c>
      <c r="F25" s="27" t="s">
        <v>3</v>
      </c>
      <c r="G25" s="34" t="s">
        <v>4</v>
      </c>
      <c r="H25" s="1">
        <v>0</v>
      </c>
      <c r="I25" s="1">
        <v>0</v>
      </c>
      <c r="J25" s="1">
        <v>0</v>
      </c>
      <c r="K25" s="1">
        <v>0</v>
      </c>
      <c r="L25" s="25">
        <v>0</v>
      </c>
      <c r="M25" s="25">
        <v>0</v>
      </c>
      <c r="N25" s="25">
        <v>6</v>
      </c>
      <c r="O25" s="25">
        <v>4</v>
      </c>
      <c r="P25" s="25">
        <v>0</v>
      </c>
      <c r="Q25" s="1">
        <v>0</v>
      </c>
      <c r="R25" s="1">
        <v>0</v>
      </c>
      <c r="S25" s="23">
        <f t="shared" si="0"/>
        <v>10</v>
      </c>
    </row>
    <row r="26" spans="1:19" ht="19.5" x14ac:dyDescent="0.25">
      <c r="A26" s="35">
        <v>24</v>
      </c>
      <c r="B26" s="35">
        <v>86592176390</v>
      </c>
      <c r="C26" s="36" t="s">
        <v>59</v>
      </c>
      <c r="D26" s="36" t="s">
        <v>59</v>
      </c>
      <c r="E26" s="37" t="s">
        <v>61</v>
      </c>
      <c r="F26" s="35" t="s">
        <v>3</v>
      </c>
      <c r="G26" s="38" t="s">
        <v>4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6</v>
      </c>
      <c r="N26" s="8">
        <v>0</v>
      </c>
      <c r="O26" s="8">
        <v>4</v>
      </c>
      <c r="P26" s="8">
        <v>0</v>
      </c>
      <c r="Q26" s="8">
        <v>0</v>
      </c>
      <c r="R26" s="8">
        <v>0</v>
      </c>
      <c r="S26" s="39">
        <f t="shared" si="0"/>
        <v>10</v>
      </c>
    </row>
    <row r="27" spans="1:19" ht="19.5" x14ac:dyDescent="0.25">
      <c r="A27" s="20">
        <v>25</v>
      </c>
      <c r="B27" s="20">
        <v>86592177030</v>
      </c>
      <c r="C27" s="30" t="s">
        <v>62</v>
      </c>
      <c r="D27" s="30" t="s">
        <v>63</v>
      </c>
      <c r="E27" s="22" t="s">
        <v>64</v>
      </c>
      <c r="F27" s="27" t="s">
        <v>3</v>
      </c>
      <c r="G27" s="34" t="s">
        <v>4</v>
      </c>
      <c r="H27" s="1">
        <v>0</v>
      </c>
      <c r="I27" s="1">
        <v>0</v>
      </c>
      <c r="J27" s="1">
        <v>0</v>
      </c>
      <c r="K27" s="1">
        <v>0</v>
      </c>
      <c r="L27" s="25">
        <v>0</v>
      </c>
      <c r="M27" s="25">
        <v>6</v>
      </c>
      <c r="N27" s="25">
        <v>0</v>
      </c>
      <c r="O27" s="25">
        <v>4</v>
      </c>
      <c r="P27" s="25">
        <v>0</v>
      </c>
      <c r="Q27" s="1">
        <v>0</v>
      </c>
      <c r="R27" s="1">
        <v>0</v>
      </c>
      <c r="S27" s="23">
        <f t="shared" si="0"/>
        <v>10</v>
      </c>
    </row>
    <row r="28" spans="1:19" ht="19.5" x14ac:dyDescent="0.25">
      <c r="A28" s="20">
        <v>26</v>
      </c>
      <c r="B28" s="20">
        <v>86592177100</v>
      </c>
      <c r="C28" s="30" t="s">
        <v>65</v>
      </c>
      <c r="D28" s="30" t="s">
        <v>66</v>
      </c>
      <c r="E28" s="22" t="s">
        <v>67</v>
      </c>
      <c r="F28" s="27" t="s">
        <v>3</v>
      </c>
      <c r="G28" s="34" t="s">
        <v>4</v>
      </c>
      <c r="H28" s="1">
        <v>0</v>
      </c>
      <c r="I28" s="1">
        <v>0</v>
      </c>
      <c r="J28" s="1">
        <v>0</v>
      </c>
      <c r="K28" s="1">
        <v>0</v>
      </c>
      <c r="L28" s="25">
        <v>0</v>
      </c>
      <c r="M28" s="25">
        <v>0</v>
      </c>
      <c r="N28" s="25">
        <v>6</v>
      </c>
      <c r="O28" s="25">
        <v>4</v>
      </c>
      <c r="P28" s="25">
        <v>0</v>
      </c>
      <c r="Q28" s="1">
        <v>0</v>
      </c>
      <c r="R28" s="1">
        <v>0</v>
      </c>
      <c r="S28" s="23">
        <f t="shared" si="0"/>
        <v>10</v>
      </c>
    </row>
    <row r="29" spans="1:19" ht="19.5" x14ac:dyDescent="0.25">
      <c r="A29" s="20">
        <v>27</v>
      </c>
      <c r="B29" s="20"/>
      <c r="C29" s="30" t="s">
        <v>68</v>
      </c>
      <c r="D29" s="30" t="s">
        <v>68</v>
      </c>
      <c r="E29" s="22" t="s">
        <v>69</v>
      </c>
      <c r="F29" s="20" t="s">
        <v>3</v>
      </c>
      <c r="G29" s="1" t="s">
        <v>35</v>
      </c>
      <c r="H29" s="1">
        <v>0</v>
      </c>
      <c r="I29" s="1">
        <v>0</v>
      </c>
      <c r="J29" s="1">
        <v>0</v>
      </c>
      <c r="K29" s="1">
        <v>0</v>
      </c>
      <c r="L29" s="1">
        <v>4</v>
      </c>
      <c r="M29" s="1">
        <v>2</v>
      </c>
      <c r="N29" s="1">
        <v>2</v>
      </c>
      <c r="O29" s="1">
        <v>0</v>
      </c>
      <c r="P29" s="1">
        <v>0</v>
      </c>
      <c r="Q29" s="1">
        <v>0</v>
      </c>
      <c r="R29" s="1">
        <v>0</v>
      </c>
      <c r="S29" s="23">
        <f t="shared" si="0"/>
        <v>8</v>
      </c>
    </row>
    <row r="30" spans="1:19" ht="19.5" x14ac:dyDescent="0.25">
      <c r="A30" s="20">
        <v>28</v>
      </c>
      <c r="B30" s="20"/>
      <c r="C30" s="30" t="s">
        <v>70</v>
      </c>
      <c r="D30" s="30" t="s">
        <v>70</v>
      </c>
      <c r="E30" s="22" t="s">
        <v>71</v>
      </c>
      <c r="F30" s="20" t="s">
        <v>3</v>
      </c>
      <c r="G30" s="1" t="s">
        <v>35</v>
      </c>
      <c r="H30" s="1">
        <v>0</v>
      </c>
      <c r="I30" s="1">
        <v>0</v>
      </c>
      <c r="J30" s="1">
        <v>0</v>
      </c>
      <c r="K30" s="1">
        <v>0</v>
      </c>
      <c r="L30" s="1">
        <v>4</v>
      </c>
      <c r="M30" s="1">
        <v>2</v>
      </c>
      <c r="N30" s="1">
        <v>2</v>
      </c>
      <c r="O30" s="1">
        <v>0</v>
      </c>
      <c r="P30" s="1">
        <v>0</v>
      </c>
      <c r="Q30" s="1">
        <v>0</v>
      </c>
      <c r="R30" s="1">
        <v>0</v>
      </c>
      <c r="S30" s="23">
        <f t="shared" si="0"/>
        <v>8</v>
      </c>
    </row>
    <row r="31" spans="1:19" ht="19.5" x14ac:dyDescent="0.25">
      <c r="A31" s="20">
        <v>29</v>
      </c>
      <c r="B31" s="20">
        <v>86592173890</v>
      </c>
      <c r="C31" s="30" t="s">
        <v>72</v>
      </c>
      <c r="D31" s="30" t="s">
        <v>73</v>
      </c>
      <c r="E31" s="22" t="s">
        <v>74</v>
      </c>
      <c r="F31" s="2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23"/>
    </row>
    <row r="32" spans="1:19" ht="19.5" x14ac:dyDescent="0.25">
      <c r="A32" s="20">
        <v>30</v>
      </c>
      <c r="B32" s="20">
        <v>86592173960</v>
      </c>
      <c r="C32" s="30" t="s">
        <v>75</v>
      </c>
      <c r="D32" s="30" t="s">
        <v>76</v>
      </c>
      <c r="E32" s="22" t="s">
        <v>77</v>
      </c>
      <c r="F32" s="2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23"/>
    </row>
    <row r="33" spans="1:19" ht="19.5" x14ac:dyDescent="0.25">
      <c r="A33" s="20">
        <v>31</v>
      </c>
      <c r="B33" s="20">
        <v>86592176150</v>
      </c>
      <c r="C33" s="30" t="s">
        <v>78</v>
      </c>
      <c r="D33" s="30" t="s">
        <v>79</v>
      </c>
      <c r="E33" s="22" t="s">
        <v>80</v>
      </c>
      <c r="F33" s="2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23"/>
    </row>
    <row r="34" spans="1:19" x14ac:dyDescent="0.25">
      <c r="A34" s="54" t="s">
        <v>221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</row>
    <row r="35" spans="1:19" ht="19.5" x14ac:dyDescent="0.25">
      <c r="A35" s="20">
        <v>32</v>
      </c>
      <c r="B35" s="20">
        <v>86592173030</v>
      </c>
      <c r="C35" s="30" t="s">
        <v>100</v>
      </c>
      <c r="D35" s="30" t="s">
        <v>101</v>
      </c>
      <c r="E35" s="22" t="s">
        <v>102</v>
      </c>
      <c r="F35" s="20" t="s">
        <v>3</v>
      </c>
      <c r="G35" s="1" t="s">
        <v>4</v>
      </c>
      <c r="H35" s="1">
        <v>63</v>
      </c>
      <c r="I35" s="1">
        <v>8</v>
      </c>
      <c r="J35" s="1">
        <v>0</v>
      </c>
      <c r="K35" s="1">
        <v>1</v>
      </c>
      <c r="L35" s="1">
        <v>96</v>
      </c>
      <c r="M35" s="1">
        <v>45</v>
      </c>
      <c r="N35" s="1">
        <v>32</v>
      </c>
      <c r="O35" s="1">
        <v>73</v>
      </c>
      <c r="P35" s="1">
        <v>88</v>
      </c>
      <c r="Q35" s="1">
        <v>12</v>
      </c>
      <c r="R35" s="1">
        <v>19</v>
      </c>
      <c r="S35" s="23">
        <f t="shared" ref="S35:S44" si="1">SUM(H35:R35)</f>
        <v>437</v>
      </c>
    </row>
    <row r="36" spans="1:19" ht="19.5" x14ac:dyDescent="0.25">
      <c r="A36" s="20">
        <v>33</v>
      </c>
      <c r="B36" s="20">
        <v>86592173100</v>
      </c>
      <c r="C36" s="30" t="s">
        <v>103</v>
      </c>
      <c r="D36" s="30" t="s">
        <v>104</v>
      </c>
      <c r="E36" s="22" t="s">
        <v>105</v>
      </c>
      <c r="F36" s="20" t="s">
        <v>3</v>
      </c>
      <c r="G36" s="1" t="s">
        <v>4</v>
      </c>
      <c r="H36" s="1">
        <v>10</v>
      </c>
      <c r="I36" s="1">
        <v>2</v>
      </c>
      <c r="J36" s="1">
        <v>0</v>
      </c>
      <c r="K36" s="1">
        <v>1</v>
      </c>
      <c r="L36" s="1">
        <v>31</v>
      </c>
      <c r="M36" s="1">
        <v>14</v>
      </c>
      <c r="N36" s="1">
        <v>15</v>
      </c>
      <c r="O36" s="1">
        <v>18</v>
      </c>
      <c r="P36" s="1">
        <v>20</v>
      </c>
      <c r="Q36" s="1">
        <v>4</v>
      </c>
      <c r="R36" s="1">
        <v>8</v>
      </c>
      <c r="S36" s="23">
        <f t="shared" si="1"/>
        <v>123</v>
      </c>
    </row>
    <row r="37" spans="1:19" ht="19.5" x14ac:dyDescent="0.25">
      <c r="A37" s="20">
        <v>34</v>
      </c>
      <c r="B37" s="20">
        <v>86592177410</v>
      </c>
      <c r="C37" s="30" t="s">
        <v>106</v>
      </c>
      <c r="D37" s="30" t="s">
        <v>106</v>
      </c>
      <c r="E37" s="22" t="s">
        <v>107</v>
      </c>
      <c r="F37" s="27" t="s">
        <v>3</v>
      </c>
      <c r="G37" s="34" t="s">
        <v>4</v>
      </c>
      <c r="H37" s="1">
        <v>98</v>
      </c>
      <c r="I37" s="1">
        <v>25</v>
      </c>
      <c r="J37" s="1">
        <v>0</v>
      </c>
      <c r="K37" s="1">
        <v>4</v>
      </c>
      <c r="L37" s="1">
        <v>195</v>
      </c>
      <c r="M37" s="1">
        <v>91</v>
      </c>
      <c r="N37" s="1">
        <v>86</v>
      </c>
      <c r="O37" s="1">
        <v>151</v>
      </c>
      <c r="P37" s="1">
        <v>173</v>
      </c>
      <c r="Q37" s="1">
        <v>30</v>
      </c>
      <c r="R37" s="1">
        <v>52</v>
      </c>
      <c r="S37" s="23">
        <f t="shared" si="1"/>
        <v>905</v>
      </c>
    </row>
    <row r="38" spans="1:19" ht="19.5" x14ac:dyDescent="0.25">
      <c r="A38" s="20">
        <v>35</v>
      </c>
      <c r="B38" s="20">
        <v>86592171960</v>
      </c>
      <c r="C38" s="30" t="s">
        <v>108</v>
      </c>
      <c r="D38" s="30" t="s">
        <v>109</v>
      </c>
      <c r="E38" s="22" t="s">
        <v>110</v>
      </c>
      <c r="F38" s="20" t="s">
        <v>3</v>
      </c>
      <c r="G38" s="26" t="s">
        <v>4</v>
      </c>
      <c r="H38" s="1">
        <v>9</v>
      </c>
      <c r="I38" s="1">
        <v>7</v>
      </c>
      <c r="J38" s="1">
        <v>0</v>
      </c>
      <c r="K38" s="1">
        <v>1</v>
      </c>
      <c r="L38" s="1">
        <v>7</v>
      </c>
      <c r="M38" s="1">
        <v>4</v>
      </c>
      <c r="N38" s="1">
        <v>8</v>
      </c>
      <c r="O38" s="1">
        <v>19</v>
      </c>
      <c r="P38" s="1">
        <v>18</v>
      </c>
      <c r="Q38" s="1">
        <v>3</v>
      </c>
      <c r="R38" s="1">
        <v>3</v>
      </c>
      <c r="S38" s="23">
        <f t="shared" si="1"/>
        <v>79</v>
      </c>
    </row>
    <row r="39" spans="1:19" ht="19.5" x14ac:dyDescent="0.25">
      <c r="A39" s="20">
        <v>36</v>
      </c>
      <c r="B39" s="20">
        <v>86592171890</v>
      </c>
      <c r="C39" s="30" t="s">
        <v>111</v>
      </c>
      <c r="D39" s="30" t="s">
        <v>112</v>
      </c>
      <c r="E39" s="22" t="s">
        <v>113</v>
      </c>
      <c r="F39" s="20" t="s">
        <v>3</v>
      </c>
      <c r="G39" s="26" t="s">
        <v>4</v>
      </c>
      <c r="H39" s="1">
        <v>6</v>
      </c>
      <c r="I39" s="1">
        <v>4</v>
      </c>
      <c r="J39" s="1">
        <v>0</v>
      </c>
      <c r="K39" s="1">
        <v>1</v>
      </c>
      <c r="L39" s="20">
        <v>5</v>
      </c>
      <c r="M39" s="20">
        <v>1</v>
      </c>
      <c r="N39" s="20">
        <v>3</v>
      </c>
      <c r="O39" s="20">
        <v>8</v>
      </c>
      <c r="P39" s="20">
        <v>10</v>
      </c>
      <c r="Q39" s="27">
        <v>3</v>
      </c>
      <c r="R39" s="27">
        <v>3</v>
      </c>
      <c r="S39" s="23">
        <f t="shared" si="1"/>
        <v>44</v>
      </c>
    </row>
    <row r="40" spans="1:19" ht="19.5" x14ac:dyDescent="0.25">
      <c r="A40" s="20">
        <v>37</v>
      </c>
      <c r="B40" s="20">
        <v>82653001210</v>
      </c>
      <c r="C40" s="40" t="s">
        <v>114</v>
      </c>
      <c r="D40" s="40" t="s">
        <v>114</v>
      </c>
      <c r="E40" s="22" t="s">
        <v>115</v>
      </c>
      <c r="F40" s="27" t="s">
        <v>116</v>
      </c>
      <c r="G40" s="34" t="s">
        <v>4</v>
      </c>
      <c r="H40" s="1">
        <v>480</v>
      </c>
      <c r="I40" s="1">
        <v>352</v>
      </c>
      <c r="J40" s="1">
        <v>0</v>
      </c>
      <c r="K40" s="1">
        <v>0</v>
      </c>
      <c r="L40" s="1">
        <v>384</v>
      </c>
      <c r="M40" s="1">
        <v>160</v>
      </c>
      <c r="N40" s="1">
        <v>352</v>
      </c>
      <c r="O40" s="1">
        <v>864</v>
      </c>
      <c r="P40" s="1">
        <v>896</v>
      </c>
      <c r="Q40" s="1">
        <v>192</v>
      </c>
      <c r="R40" s="1">
        <v>96</v>
      </c>
      <c r="S40" s="23">
        <f t="shared" si="1"/>
        <v>3776</v>
      </c>
    </row>
    <row r="41" spans="1:19" ht="19.5" x14ac:dyDescent="0.25">
      <c r="A41" s="20">
        <v>38</v>
      </c>
      <c r="B41" s="20"/>
      <c r="C41" s="40" t="s">
        <v>117</v>
      </c>
      <c r="D41" s="40" t="s">
        <v>117</v>
      </c>
      <c r="E41" s="22" t="s">
        <v>118</v>
      </c>
      <c r="F41" s="27" t="s">
        <v>116</v>
      </c>
      <c r="G41" s="34" t="s">
        <v>4</v>
      </c>
      <c r="H41" s="1">
        <v>368</v>
      </c>
      <c r="I41" s="1">
        <v>0</v>
      </c>
      <c r="J41" s="1">
        <v>0</v>
      </c>
      <c r="K41" s="1">
        <v>0</v>
      </c>
      <c r="L41" s="1">
        <v>112</v>
      </c>
      <c r="M41" s="1">
        <v>272</v>
      </c>
      <c r="N41" s="1">
        <v>464</v>
      </c>
      <c r="O41" s="1">
        <v>704</v>
      </c>
      <c r="P41" s="1">
        <v>752</v>
      </c>
      <c r="Q41" s="1">
        <v>96</v>
      </c>
      <c r="R41" s="1">
        <v>528</v>
      </c>
      <c r="S41" s="23">
        <f t="shared" si="1"/>
        <v>3296</v>
      </c>
    </row>
    <row r="42" spans="1:19" ht="19.5" x14ac:dyDescent="0.25">
      <c r="A42" s="20">
        <v>39</v>
      </c>
      <c r="B42" s="20"/>
      <c r="C42" s="40" t="s">
        <v>119</v>
      </c>
      <c r="D42" s="40" t="s">
        <v>119</v>
      </c>
      <c r="E42" s="22" t="s">
        <v>120</v>
      </c>
      <c r="F42" s="27" t="s">
        <v>116</v>
      </c>
      <c r="G42" s="34" t="s">
        <v>4</v>
      </c>
      <c r="H42" s="1">
        <v>480</v>
      </c>
      <c r="I42" s="1">
        <v>352</v>
      </c>
      <c r="J42" s="1">
        <v>0</v>
      </c>
      <c r="K42" s="1">
        <v>0</v>
      </c>
      <c r="L42" s="1">
        <v>384</v>
      </c>
      <c r="M42" s="1">
        <v>160</v>
      </c>
      <c r="N42" s="1">
        <v>352</v>
      </c>
      <c r="O42" s="1">
        <v>864</v>
      </c>
      <c r="P42" s="1">
        <v>896</v>
      </c>
      <c r="Q42" s="1">
        <v>192</v>
      </c>
      <c r="R42" s="1">
        <v>96</v>
      </c>
      <c r="S42" s="23">
        <f t="shared" si="1"/>
        <v>3776</v>
      </c>
    </row>
    <row r="43" spans="1:19" ht="19.5" x14ac:dyDescent="0.25">
      <c r="A43" s="20">
        <v>40</v>
      </c>
      <c r="B43" s="20">
        <v>82653001520</v>
      </c>
      <c r="C43" s="40" t="s">
        <v>121</v>
      </c>
      <c r="D43" s="40" t="s">
        <v>121</v>
      </c>
      <c r="E43" s="22" t="s">
        <v>122</v>
      </c>
      <c r="F43" s="27" t="s">
        <v>116</v>
      </c>
      <c r="G43" s="34" t="s">
        <v>4</v>
      </c>
      <c r="H43" s="1">
        <v>368</v>
      </c>
      <c r="I43" s="1">
        <v>0</v>
      </c>
      <c r="J43" s="1">
        <v>0</v>
      </c>
      <c r="K43" s="1">
        <v>0</v>
      </c>
      <c r="L43" s="1">
        <v>112</v>
      </c>
      <c r="M43" s="1">
        <v>272</v>
      </c>
      <c r="N43" s="1">
        <v>464</v>
      </c>
      <c r="O43" s="1">
        <v>704</v>
      </c>
      <c r="P43" s="1">
        <v>752</v>
      </c>
      <c r="Q43" s="1">
        <v>96</v>
      </c>
      <c r="R43" s="1">
        <v>528</v>
      </c>
      <c r="S43" s="23">
        <f t="shared" si="1"/>
        <v>3296</v>
      </c>
    </row>
    <row r="44" spans="1:19" ht="19.5" x14ac:dyDescent="0.25">
      <c r="A44" s="20">
        <v>41</v>
      </c>
      <c r="B44" s="20">
        <v>86592122960</v>
      </c>
      <c r="C44" s="40" t="s">
        <v>123</v>
      </c>
      <c r="D44" s="40" t="s">
        <v>124</v>
      </c>
      <c r="E44" s="22" t="s">
        <v>125</v>
      </c>
      <c r="F44" s="1"/>
      <c r="G44" s="1"/>
      <c r="H44" s="1">
        <v>0</v>
      </c>
      <c r="I44" s="1">
        <v>0</v>
      </c>
      <c r="J44" s="1">
        <v>5</v>
      </c>
      <c r="K44" s="1">
        <v>2</v>
      </c>
      <c r="L44" s="1">
        <v>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23">
        <f t="shared" si="1"/>
        <v>8</v>
      </c>
    </row>
    <row r="45" spans="1:19" x14ac:dyDescent="0.25">
      <c r="A45" s="54" t="s">
        <v>222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</row>
    <row r="46" spans="1:19" ht="19.5" x14ac:dyDescent="0.25">
      <c r="A46" s="20">
        <v>42</v>
      </c>
      <c r="B46" s="20">
        <v>86592047340</v>
      </c>
      <c r="C46" s="40" t="s">
        <v>126</v>
      </c>
      <c r="D46" s="40" t="s">
        <v>126</v>
      </c>
      <c r="E46" s="22" t="s">
        <v>127</v>
      </c>
      <c r="F46" s="27" t="s">
        <v>128</v>
      </c>
      <c r="G46" s="34" t="s">
        <v>4</v>
      </c>
      <c r="H46" s="1">
        <v>4</v>
      </c>
      <c r="I46" s="1">
        <v>2</v>
      </c>
      <c r="J46" s="1">
        <v>9</v>
      </c>
      <c r="K46" s="1">
        <v>0</v>
      </c>
      <c r="L46" s="27">
        <v>4</v>
      </c>
      <c r="M46" s="27">
        <v>0</v>
      </c>
      <c r="N46" s="27">
        <v>4</v>
      </c>
      <c r="O46" s="27">
        <v>4</v>
      </c>
      <c r="P46" s="27">
        <v>4</v>
      </c>
      <c r="Q46" s="27">
        <v>3</v>
      </c>
      <c r="R46" s="27">
        <v>3</v>
      </c>
      <c r="S46" s="23">
        <f t="shared" ref="S46:S77" si="2">SUM(H46:R46)</f>
        <v>37</v>
      </c>
    </row>
    <row r="47" spans="1:19" ht="19.5" x14ac:dyDescent="0.25">
      <c r="A47" s="20">
        <v>43</v>
      </c>
      <c r="B47" s="20" t="s">
        <v>129</v>
      </c>
      <c r="C47" s="41" t="s">
        <v>130</v>
      </c>
      <c r="D47" s="41" t="s">
        <v>130</v>
      </c>
      <c r="E47" s="42" t="s">
        <v>131</v>
      </c>
      <c r="F47" s="27" t="s">
        <v>132</v>
      </c>
      <c r="G47" s="34" t="s">
        <v>4</v>
      </c>
      <c r="H47" s="1">
        <v>4</v>
      </c>
      <c r="I47" s="1">
        <v>2</v>
      </c>
      <c r="J47" s="1">
        <v>14</v>
      </c>
      <c r="K47" s="1">
        <v>2</v>
      </c>
      <c r="L47" s="27">
        <v>4</v>
      </c>
      <c r="M47" s="27">
        <v>0</v>
      </c>
      <c r="N47" s="27">
        <v>4</v>
      </c>
      <c r="O47" s="27">
        <v>4</v>
      </c>
      <c r="P47" s="27">
        <v>4</v>
      </c>
      <c r="Q47" s="27">
        <v>3</v>
      </c>
      <c r="R47" s="27">
        <v>3</v>
      </c>
      <c r="S47" s="23">
        <f t="shared" si="2"/>
        <v>44</v>
      </c>
    </row>
    <row r="48" spans="1:19" ht="19.5" x14ac:dyDescent="0.25">
      <c r="A48" s="20">
        <v>44</v>
      </c>
      <c r="B48" s="20">
        <v>86756310060</v>
      </c>
      <c r="C48" s="30" t="s">
        <v>133</v>
      </c>
      <c r="D48" s="30" t="s">
        <v>133</v>
      </c>
      <c r="E48" s="43" t="s">
        <v>134</v>
      </c>
      <c r="F48" s="27" t="s">
        <v>135</v>
      </c>
      <c r="G48" s="34" t="s">
        <v>4</v>
      </c>
      <c r="H48" s="1">
        <v>2</v>
      </c>
      <c r="I48" s="1">
        <v>2</v>
      </c>
      <c r="J48" s="1">
        <v>0</v>
      </c>
      <c r="K48" s="1">
        <v>1</v>
      </c>
      <c r="L48" s="27">
        <v>2</v>
      </c>
      <c r="M48" s="27">
        <v>0</v>
      </c>
      <c r="N48" s="27">
        <v>2</v>
      </c>
      <c r="O48" s="27">
        <v>2</v>
      </c>
      <c r="P48" s="27">
        <v>2</v>
      </c>
      <c r="Q48" s="27">
        <v>2</v>
      </c>
      <c r="R48" s="27">
        <v>2</v>
      </c>
      <c r="S48" s="23">
        <f t="shared" si="2"/>
        <v>17</v>
      </c>
    </row>
    <row r="49" spans="1:19" ht="19.5" x14ac:dyDescent="0.25">
      <c r="A49" s="20">
        <v>45</v>
      </c>
      <c r="B49" s="20"/>
      <c r="C49" s="30" t="s">
        <v>136</v>
      </c>
      <c r="D49" s="30" t="s">
        <v>136</v>
      </c>
      <c r="E49" s="43" t="s">
        <v>137</v>
      </c>
      <c r="F49" s="27" t="s">
        <v>138</v>
      </c>
      <c r="G49" s="34" t="s">
        <v>139</v>
      </c>
      <c r="H49" s="1">
        <v>200</v>
      </c>
      <c r="I49" s="1">
        <v>100</v>
      </c>
      <c r="J49" s="1">
        <v>0</v>
      </c>
      <c r="K49" s="1">
        <v>50</v>
      </c>
      <c r="L49" s="27">
        <v>0</v>
      </c>
      <c r="M49" s="27">
        <v>0</v>
      </c>
      <c r="N49" s="1">
        <v>0</v>
      </c>
      <c r="O49" s="1">
        <v>0</v>
      </c>
      <c r="P49" s="1">
        <v>0</v>
      </c>
      <c r="Q49" s="27">
        <v>100</v>
      </c>
      <c r="R49" s="27">
        <v>100</v>
      </c>
      <c r="S49" s="23">
        <f t="shared" si="2"/>
        <v>550</v>
      </c>
    </row>
    <row r="50" spans="1:19" ht="19.5" x14ac:dyDescent="0.25">
      <c r="A50" s="20">
        <v>46</v>
      </c>
      <c r="B50" s="20">
        <v>86592176110</v>
      </c>
      <c r="C50" s="30" t="s">
        <v>140</v>
      </c>
      <c r="D50" s="30" t="s">
        <v>140</v>
      </c>
      <c r="E50" s="43" t="s">
        <v>141</v>
      </c>
      <c r="F50" s="27" t="s">
        <v>138</v>
      </c>
      <c r="G50" s="34" t="s">
        <v>4</v>
      </c>
      <c r="H50" s="1">
        <v>0</v>
      </c>
      <c r="I50" s="1">
        <v>0</v>
      </c>
      <c r="J50" s="1">
        <v>0</v>
      </c>
      <c r="K50" s="1">
        <v>0</v>
      </c>
      <c r="L50" s="27">
        <v>2</v>
      </c>
      <c r="M50" s="27">
        <v>0</v>
      </c>
      <c r="N50" s="27">
        <v>2</v>
      </c>
      <c r="O50" s="27">
        <v>2</v>
      </c>
      <c r="P50" s="27">
        <v>2</v>
      </c>
      <c r="Q50" s="27">
        <v>2</v>
      </c>
      <c r="R50" s="27">
        <v>2</v>
      </c>
      <c r="S50" s="23">
        <f t="shared" si="2"/>
        <v>12</v>
      </c>
    </row>
    <row r="51" spans="1:19" ht="19.5" x14ac:dyDescent="0.25">
      <c r="A51" s="20">
        <v>47</v>
      </c>
      <c r="B51" s="20">
        <v>86592176100</v>
      </c>
      <c r="C51" s="30" t="s">
        <v>142</v>
      </c>
      <c r="D51" s="30" t="s">
        <v>142</v>
      </c>
      <c r="E51" s="43" t="s">
        <v>143</v>
      </c>
      <c r="F51" s="27" t="s">
        <v>138</v>
      </c>
      <c r="G51" s="34" t="s">
        <v>4</v>
      </c>
      <c r="H51" s="1">
        <v>2</v>
      </c>
      <c r="I51" s="1">
        <v>0</v>
      </c>
      <c r="J51" s="1">
        <v>0</v>
      </c>
      <c r="K51" s="1">
        <v>0</v>
      </c>
      <c r="L51" s="27">
        <v>0</v>
      </c>
      <c r="M51" s="27">
        <v>0</v>
      </c>
      <c r="N51" s="1">
        <v>0</v>
      </c>
      <c r="O51" s="1">
        <v>0</v>
      </c>
      <c r="P51" s="1">
        <v>0</v>
      </c>
      <c r="Q51" s="27">
        <v>0</v>
      </c>
      <c r="R51" s="27">
        <v>0</v>
      </c>
      <c r="S51" s="23">
        <f t="shared" si="2"/>
        <v>2</v>
      </c>
    </row>
    <row r="52" spans="1:19" ht="19.5" x14ac:dyDescent="0.25">
      <c r="A52" s="20">
        <v>48</v>
      </c>
      <c r="B52" s="20"/>
      <c r="C52" s="21" t="s">
        <v>144</v>
      </c>
      <c r="D52" s="21" t="s">
        <v>144</v>
      </c>
      <c r="E52" s="32" t="s">
        <v>145</v>
      </c>
      <c r="F52" s="5" t="s">
        <v>146</v>
      </c>
      <c r="G52" s="6" t="s">
        <v>4</v>
      </c>
      <c r="H52" s="6">
        <v>3</v>
      </c>
      <c r="I52" s="6">
        <v>2</v>
      </c>
      <c r="J52" s="1">
        <v>6</v>
      </c>
      <c r="K52" s="1">
        <v>0</v>
      </c>
      <c r="L52" s="5">
        <v>3</v>
      </c>
      <c r="M52" s="5">
        <v>0</v>
      </c>
      <c r="N52" s="5">
        <v>3</v>
      </c>
      <c r="O52" s="5">
        <v>3</v>
      </c>
      <c r="P52" s="5">
        <v>3</v>
      </c>
      <c r="Q52" s="5">
        <v>2</v>
      </c>
      <c r="R52" s="5">
        <v>2</v>
      </c>
      <c r="S52" s="23">
        <f t="shared" si="2"/>
        <v>27</v>
      </c>
    </row>
    <row r="53" spans="1:19" ht="19.5" x14ac:dyDescent="0.25">
      <c r="A53" s="20">
        <v>49</v>
      </c>
      <c r="B53" s="20"/>
      <c r="C53" s="21" t="s">
        <v>147</v>
      </c>
      <c r="D53" s="21" t="s">
        <v>147</v>
      </c>
      <c r="E53" s="32" t="s">
        <v>148</v>
      </c>
      <c r="F53" s="5" t="s">
        <v>146</v>
      </c>
      <c r="G53" s="6" t="s">
        <v>4</v>
      </c>
      <c r="H53" s="6">
        <v>3</v>
      </c>
      <c r="I53" s="6">
        <v>2</v>
      </c>
      <c r="J53" s="1">
        <v>6</v>
      </c>
      <c r="K53" s="1">
        <v>0</v>
      </c>
      <c r="L53" s="5">
        <v>3</v>
      </c>
      <c r="M53" s="5">
        <v>0</v>
      </c>
      <c r="N53" s="5">
        <v>3</v>
      </c>
      <c r="O53" s="5">
        <v>3</v>
      </c>
      <c r="P53" s="5">
        <v>3</v>
      </c>
      <c r="Q53" s="5">
        <v>2</v>
      </c>
      <c r="R53" s="5">
        <v>2</v>
      </c>
      <c r="S53" s="23">
        <f t="shared" si="2"/>
        <v>27</v>
      </c>
    </row>
    <row r="54" spans="1:19" ht="19.5" x14ac:dyDescent="0.25">
      <c r="A54" s="20">
        <v>50</v>
      </c>
      <c r="B54" s="20"/>
      <c r="C54" s="21" t="s">
        <v>149</v>
      </c>
      <c r="D54" s="21" t="s">
        <v>149</v>
      </c>
      <c r="E54" s="32" t="s">
        <v>150</v>
      </c>
      <c r="F54" s="5" t="s">
        <v>146</v>
      </c>
      <c r="G54" s="6" t="s">
        <v>4</v>
      </c>
      <c r="H54" s="6">
        <v>3</v>
      </c>
      <c r="I54" s="6">
        <v>2</v>
      </c>
      <c r="J54" s="1">
        <v>6</v>
      </c>
      <c r="K54" s="1">
        <v>0</v>
      </c>
      <c r="L54" s="5">
        <v>3</v>
      </c>
      <c r="M54" s="5">
        <v>0</v>
      </c>
      <c r="N54" s="5">
        <v>3</v>
      </c>
      <c r="O54" s="5">
        <v>3</v>
      </c>
      <c r="P54" s="5">
        <v>3</v>
      </c>
      <c r="Q54" s="5">
        <v>2</v>
      </c>
      <c r="R54" s="5">
        <v>2</v>
      </c>
      <c r="S54" s="23">
        <f t="shared" si="2"/>
        <v>27</v>
      </c>
    </row>
    <row r="55" spans="1:19" ht="19.5" x14ac:dyDescent="0.25">
      <c r="A55" s="20">
        <v>51</v>
      </c>
      <c r="B55" s="20"/>
      <c r="C55" s="21" t="s">
        <v>151</v>
      </c>
      <c r="D55" s="21" t="s">
        <v>151</v>
      </c>
      <c r="E55" s="32" t="s">
        <v>152</v>
      </c>
      <c r="F55" s="5" t="s">
        <v>146</v>
      </c>
      <c r="G55" s="6" t="s">
        <v>4</v>
      </c>
      <c r="H55" s="6">
        <v>3</v>
      </c>
      <c r="I55" s="6">
        <v>2</v>
      </c>
      <c r="J55" s="1">
        <v>6</v>
      </c>
      <c r="K55" s="1">
        <v>0</v>
      </c>
      <c r="L55" s="5">
        <v>3</v>
      </c>
      <c r="M55" s="5">
        <v>0</v>
      </c>
      <c r="N55" s="5">
        <v>3</v>
      </c>
      <c r="O55" s="5">
        <v>3</v>
      </c>
      <c r="P55" s="5">
        <v>3</v>
      </c>
      <c r="Q55" s="5">
        <v>2</v>
      </c>
      <c r="R55" s="5">
        <v>2</v>
      </c>
      <c r="S55" s="23">
        <f t="shared" si="2"/>
        <v>27</v>
      </c>
    </row>
    <row r="56" spans="1:19" ht="19.5" x14ac:dyDescent="0.25">
      <c r="A56" s="20">
        <v>52</v>
      </c>
      <c r="B56" s="20">
        <v>94807419020</v>
      </c>
      <c r="C56" s="21" t="s">
        <v>153</v>
      </c>
      <c r="D56" s="21" t="s">
        <v>153</v>
      </c>
      <c r="E56" s="32" t="s">
        <v>154</v>
      </c>
      <c r="F56" s="5" t="s">
        <v>146</v>
      </c>
      <c r="G56" s="6" t="s">
        <v>4</v>
      </c>
      <c r="H56" s="6">
        <v>3</v>
      </c>
      <c r="I56" s="6">
        <v>2</v>
      </c>
      <c r="J56" s="1">
        <v>6</v>
      </c>
      <c r="K56" s="1">
        <v>0</v>
      </c>
      <c r="L56" s="5">
        <v>3</v>
      </c>
      <c r="M56" s="5">
        <v>0</v>
      </c>
      <c r="N56" s="5">
        <v>3</v>
      </c>
      <c r="O56" s="5">
        <v>3</v>
      </c>
      <c r="P56" s="5">
        <v>3</v>
      </c>
      <c r="Q56" s="5">
        <v>2</v>
      </c>
      <c r="R56" s="5">
        <v>2</v>
      </c>
      <c r="S56" s="23">
        <f t="shared" si="2"/>
        <v>27</v>
      </c>
    </row>
    <row r="57" spans="1:19" ht="19.5" x14ac:dyDescent="0.25">
      <c r="A57" s="20">
        <v>53</v>
      </c>
      <c r="B57" s="20">
        <v>86592175100</v>
      </c>
      <c r="C57" s="30" t="s">
        <v>155</v>
      </c>
      <c r="D57" s="21" t="s">
        <v>155</v>
      </c>
      <c r="E57" s="32" t="s">
        <v>156</v>
      </c>
      <c r="F57" s="44" t="s">
        <v>138</v>
      </c>
      <c r="G57" s="45" t="s">
        <v>4</v>
      </c>
      <c r="H57" s="1">
        <v>2</v>
      </c>
      <c r="I57" s="1">
        <v>2</v>
      </c>
      <c r="J57" s="1">
        <v>0</v>
      </c>
      <c r="K57" s="1">
        <v>1</v>
      </c>
      <c r="L57" s="44">
        <v>6</v>
      </c>
      <c r="M57" s="44">
        <v>4</v>
      </c>
      <c r="N57" s="44">
        <v>4</v>
      </c>
      <c r="O57" s="44">
        <v>8</v>
      </c>
      <c r="P57" s="44">
        <v>4</v>
      </c>
      <c r="Q57" s="44">
        <v>4</v>
      </c>
      <c r="R57" s="44">
        <v>2</v>
      </c>
      <c r="S57" s="23">
        <f t="shared" si="2"/>
        <v>37</v>
      </c>
    </row>
    <row r="58" spans="1:19" ht="19.5" x14ac:dyDescent="0.25">
      <c r="A58" s="35">
        <v>54</v>
      </c>
      <c r="B58" s="35">
        <v>86592175100</v>
      </c>
      <c r="C58" s="36" t="s">
        <v>157</v>
      </c>
      <c r="D58" s="46" t="s">
        <v>157</v>
      </c>
      <c r="E58" s="47" t="s">
        <v>158</v>
      </c>
      <c r="F58" s="48"/>
      <c r="G58" s="48" t="s">
        <v>4</v>
      </c>
      <c r="H58" s="8">
        <v>2</v>
      </c>
      <c r="I58" s="8">
        <v>0</v>
      </c>
      <c r="J58" s="8">
        <v>0</v>
      </c>
      <c r="K58" s="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2</v>
      </c>
      <c r="R58" s="48">
        <v>2</v>
      </c>
      <c r="S58" s="39">
        <f t="shared" si="2"/>
        <v>6</v>
      </c>
    </row>
    <row r="59" spans="1:19" ht="19.5" x14ac:dyDescent="0.25">
      <c r="A59" s="20">
        <v>55</v>
      </c>
      <c r="B59" s="20"/>
      <c r="C59" s="30" t="s">
        <v>159</v>
      </c>
      <c r="D59" s="30" t="s">
        <v>159</v>
      </c>
      <c r="E59" s="43" t="s">
        <v>160</v>
      </c>
      <c r="F59" s="30"/>
      <c r="G59" s="49"/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2</v>
      </c>
      <c r="S59" s="23">
        <f t="shared" si="2"/>
        <v>2</v>
      </c>
    </row>
    <row r="60" spans="1:19" ht="19.5" x14ac:dyDescent="0.25">
      <c r="A60" s="20"/>
      <c r="B60" s="20"/>
      <c r="C60" s="30"/>
      <c r="D60" s="30"/>
      <c r="E60" s="43" t="s">
        <v>161</v>
      </c>
      <c r="F60" s="30"/>
      <c r="G60" s="4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3"/>
    </row>
    <row r="61" spans="1:19" ht="19.5" x14ac:dyDescent="0.25">
      <c r="A61" s="20">
        <v>56</v>
      </c>
      <c r="B61" s="20"/>
      <c r="C61" s="30" t="s">
        <v>162</v>
      </c>
      <c r="D61" s="30" t="s">
        <v>162</v>
      </c>
      <c r="E61" s="43" t="s">
        <v>163</v>
      </c>
      <c r="F61" s="30"/>
      <c r="G61" s="49"/>
      <c r="H61" s="1">
        <v>0</v>
      </c>
      <c r="I61" s="1">
        <v>0</v>
      </c>
      <c r="J61" s="1">
        <v>10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23">
        <f t="shared" si="2"/>
        <v>10</v>
      </c>
    </row>
    <row r="62" spans="1:19" ht="19.5" x14ac:dyDescent="0.25">
      <c r="A62" s="20">
        <v>57</v>
      </c>
      <c r="B62" s="20"/>
      <c r="C62" s="30" t="s">
        <v>164</v>
      </c>
      <c r="D62" s="30"/>
      <c r="E62" s="43" t="s">
        <v>165</v>
      </c>
      <c r="F62" s="30"/>
      <c r="G62" s="49"/>
      <c r="H62" s="1"/>
      <c r="I62" s="1"/>
      <c r="J62" s="1">
        <v>1</v>
      </c>
      <c r="K62" s="1"/>
      <c r="L62" s="1"/>
      <c r="M62" s="1"/>
      <c r="N62" s="1"/>
      <c r="O62" s="1"/>
      <c r="P62" s="1"/>
      <c r="Q62" s="1"/>
      <c r="R62" s="1"/>
      <c r="S62" s="23">
        <v>1</v>
      </c>
    </row>
    <row r="63" spans="1:19" ht="19.5" x14ac:dyDescent="0.25">
      <c r="A63" s="20">
        <v>58</v>
      </c>
      <c r="B63" s="20">
        <v>94802000610</v>
      </c>
      <c r="C63" s="30" t="s">
        <v>166</v>
      </c>
      <c r="D63" s="30" t="s">
        <v>166</v>
      </c>
      <c r="E63" s="43" t="s">
        <v>167</v>
      </c>
      <c r="F63" s="30"/>
      <c r="G63" s="49"/>
      <c r="H63" s="1">
        <v>0</v>
      </c>
      <c r="I63" s="1">
        <v>0</v>
      </c>
      <c r="J63" s="1">
        <v>1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23">
        <f t="shared" si="2"/>
        <v>1</v>
      </c>
    </row>
    <row r="64" spans="1:19" ht="19.5" x14ac:dyDescent="0.25">
      <c r="A64" s="20">
        <v>59</v>
      </c>
      <c r="B64" s="20">
        <v>86756310130</v>
      </c>
      <c r="C64" s="30" t="s">
        <v>168</v>
      </c>
      <c r="D64" s="30" t="s">
        <v>168</v>
      </c>
      <c r="E64" s="43" t="s">
        <v>169</v>
      </c>
      <c r="F64" s="30"/>
      <c r="G64" s="49"/>
      <c r="H64" s="1">
        <v>0</v>
      </c>
      <c r="I64" s="1">
        <v>0</v>
      </c>
      <c r="J64" s="1">
        <v>2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23">
        <f t="shared" si="2"/>
        <v>2</v>
      </c>
    </row>
    <row r="65" spans="1:19" ht="19.5" x14ac:dyDescent="0.25">
      <c r="A65" s="20">
        <v>60</v>
      </c>
      <c r="B65" s="20"/>
      <c r="C65" s="30" t="s">
        <v>170</v>
      </c>
      <c r="D65" s="30" t="s">
        <v>170</v>
      </c>
      <c r="E65" s="43" t="s">
        <v>171</v>
      </c>
      <c r="F65" s="30"/>
      <c r="G65" s="49"/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23">
        <f t="shared" si="2"/>
        <v>0</v>
      </c>
    </row>
    <row r="66" spans="1:19" ht="19.5" x14ac:dyDescent="0.25">
      <c r="A66" s="20">
        <v>61</v>
      </c>
      <c r="B66" s="20"/>
      <c r="C66" s="9" t="s">
        <v>172</v>
      </c>
      <c r="D66" s="9" t="s">
        <v>172</v>
      </c>
      <c r="E66" s="43" t="s">
        <v>173</v>
      </c>
      <c r="F66" s="30"/>
      <c r="G66" s="49"/>
      <c r="H66" s="1">
        <f t="shared" ref="H66:R66" si="3">H46*2</f>
        <v>8</v>
      </c>
      <c r="I66" s="1">
        <f t="shared" si="3"/>
        <v>4</v>
      </c>
      <c r="J66" s="1">
        <f t="shared" si="3"/>
        <v>18</v>
      </c>
      <c r="K66" s="1">
        <f t="shared" si="3"/>
        <v>0</v>
      </c>
      <c r="L66" s="1">
        <f t="shared" si="3"/>
        <v>8</v>
      </c>
      <c r="M66" s="1">
        <f t="shared" si="3"/>
        <v>0</v>
      </c>
      <c r="N66" s="1">
        <f t="shared" si="3"/>
        <v>8</v>
      </c>
      <c r="O66" s="1">
        <f t="shared" si="3"/>
        <v>8</v>
      </c>
      <c r="P66" s="1">
        <f t="shared" si="3"/>
        <v>8</v>
      </c>
      <c r="Q66" s="1">
        <f t="shared" si="3"/>
        <v>6</v>
      </c>
      <c r="R66" s="1">
        <f t="shared" si="3"/>
        <v>6</v>
      </c>
      <c r="S66" s="23">
        <f t="shared" si="2"/>
        <v>74</v>
      </c>
    </row>
    <row r="67" spans="1:19" ht="19.5" x14ac:dyDescent="0.25">
      <c r="A67" s="20">
        <v>62</v>
      </c>
      <c r="B67" s="20">
        <v>94807072180</v>
      </c>
      <c r="C67" s="9"/>
      <c r="D67" s="9"/>
      <c r="E67" s="43" t="s">
        <v>174</v>
      </c>
      <c r="F67" s="30"/>
      <c r="G67" s="49"/>
      <c r="H67" s="1">
        <v>2</v>
      </c>
      <c r="I67" s="1">
        <v>2</v>
      </c>
      <c r="J67" s="1">
        <v>18</v>
      </c>
      <c r="K67" s="1">
        <v>0</v>
      </c>
      <c r="L67" s="1">
        <v>4</v>
      </c>
      <c r="M67" s="1">
        <v>2</v>
      </c>
      <c r="N67" s="1">
        <v>4</v>
      </c>
      <c r="O67" s="1">
        <v>6</v>
      </c>
      <c r="P67" s="1">
        <v>2</v>
      </c>
      <c r="Q67" s="1">
        <v>2</v>
      </c>
      <c r="R67" s="1">
        <v>4</v>
      </c>
      <c r="S67" s="23">
        <f t="shared" si="2"/>
        <v>46</v>
      </c>
    </row>
    <row r="68" spans="1:19" ht="19.5" x14ac:dyDescent="0.25">
      <c r="A68" s="20"/>
      <c r="B68" s="20"/>
      <c r="C68" s="9"/>
      <c r="D68" s="9"/>
      <c r="E68" s="43" t="s">
        <v>175</v>
      </c>
      <c r="F68" s="30"/>
      <c r="G68" s="4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3"/>
    </row>
    <row r="69" spans="1:19" ht="19.5" x14ac:dyDescent="0.25">
      <c r="A69" s="20">
        <v>63</v>
      </c>
      <c r="B69" s="20"/>
      <c r="C69" s="9"/>
      <c r="D69" s="9"/>
      <c r="E69" s="43" t="s">
        <v>176</v>
      </c>
      <c r="F69" s="30"/>
      <c r="G69" s="49"/>
      <c r="H69" s="1">
        <v>2</v>
      </c>
      <c r="I69" s="1">
        <v>0</v>
      </c>
      <c r="J69" s="1">
        <v>0</v>
      </c>
      <c r="K69" s="1">
        <v>0</v>
      </c>
      <c r="L69" s="1">
        <v>2</v>
      </c>
      <c r="M69" s="1">
        <v>0</v>
      </c>
      <c r="N69" s="1">
        <v>2</v>
      </c>
      <c r="O69" s="1">
        <v>2</v>
      </c>
      <c r="P69" s="1">
        <v>2</v>
      </c>
      <c r="Q69" s="1">
        <v>2</v>
      </c>
      <c r="R69" s="1">
        <v>0</v>
      </c>
      <c r="S69" s="23">
        <f t="shared" si="2"/>
        <v>12</v>
      </c>
    </row>
    <row r="70" spans="1:19" ht="19.5" x14ac:dyDescent="0.25">
      <c r="A70" s="20">
        <v>64</v>
      </c>
      <c r="B70" s="20"/>
      <c r="C70" s="30" t="s">
        <v>177</v>
      </c>
      <c r="D70" s="30" t="s">
        <v>178</v>
      </c>
      <c r="E70" s="43" t="s">
        <v>179</v>
      </c>
      <c r="F70" s="30"/>
      <c r="G70" s="49"/>
      <c r="H70" s="1">
        <v>2</v>
      </c>
      <c r="I70" s="1">
        <v>0</v>
      </c>
      <c r="J70" s="1">
        <v>0</v>
      </c>
      <c r="K70" s="1">
        <v>0</v>
      </c>
      <c r="L70" s="1">
        <v>2</v>
      </c>
      <c r="M70" s="1">
        <v>0</v>
      </c>
      <c r="N70" s="1">
        <v>2</v>
      </c>
      <c r="O70" s="1">
        <v>2</v>
      </c>
      <c r="P70" s="1">
        <v>2</v>
      </c>
      <c r="Q70" s="1">
        <v>2</v>
      </c>
      <c r="R70" s="1">
        <v>0</v>
      </c>
      <c r="S70" s="23">
        <f t="shared" si="2"/>
        <v>12</v>
      </c>
    </row>
    <row r="71" spans="1:19" ht="19.5" x14ac:dyDescent="0.25">
      <c r="A71" s="20">
        <v>65</v>
      </c>
      <c r="B71" s="20">
        <v>86592126030</v>
      </c>
      <c r="C71" s="30"/>
      <c r="D71" s="30"/>
      <c r="E71" s="43" t="s">
        <v>180</v>
      </c>
      <c r="F71" s="30"/>
      <c r="G71" s="49"/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4</v>
      </c>
      <c r="N71" s="1">
        <v>4</v>
      </c>
      <c r="O71" s="1">
        <v>8</v>
      </c>
      <c r="P71" s="1">
        <v>0</v>
      </c>
      <c r="Q71" s="1">
        <v>0</v>
      </c>
      <c r="R71" s="1">
        <v>0</v>
      </c>
      <c r="S71" s="23">
        <f t="shared" si="2"/>
        <v>16</v>
      </c>
    </row>
    <row r="72" spans="1:19" ht="19.5" x14ac:dyDescent="0.25">
      <c r="A72" s="20">
        <v>66</v>
      </c>
      <c r="B72" s="20">
        <v>86756311630</v>
      </c>
      <c r="C72" s="30"/>
      <c r="D72" s="9"/>
      <c r="E72" s="43" t="s">
        <v>181</v>
      </c>
      <c r="F72" s="30"/>
      <c r="G72" s="49"/>
      <c r="H72" s="1">
        <v>4</v>
      </c>
      <c r="I72" s="1">
        <v>4</v>
      </c>
      <c r="J72" s="1">
        <v>36</v>
      </c>
      <c r="K72" s="1"/>
      <c r="L72" s="1">
        <v>8</v>
      </c>
      <c r="M72" s="1">
        <v>4</v>
      </c>
      <c r="N72" s="1">
        <v>4</v>
      </c>
      <c r="O72" s="1">
        <v>4</v>
      </c>
      <c r="P72" s="1">
        <v>4</v>
      </c>
      <c r="Q72" s="1">
        <v>4</v>
      </c>
      <c r="R72" s="1">
        <v>8</v>
      </c>
      <c r="S72" s="23">
        <f t="shared" si="2"/>
        <v>80</v>
      </c>
    </row>
    <row r="73" spans="1:19" ht="19.5" x14ac:dyDescent="0.25">
      <c r="A73" s="20">
        <v>67</v>
      </c>
      <c r="B73" s="20"/>
      <c r="C73" s="10" t="s">
        <v>182</v>
      </c>
      <c r="D73" s="10" t="s">
        <v>182</v>
      </c>
      <c r="E73" s="11" t="s">
        <v>183</v>
      </c>
      <c r="F73" s="30"/>
      <c r="G73" s="49"/>
      <c r="H73" s="1">
        <v>2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23">
        <f t="shared" si="2"/>
        <v>2</v>
      </c>
    </row>
    <row r="74" spans="1:19" ht="19.5" x14ac:dyDescent="0.25">
      <c r="A74" s="20">
        <v>68</v>
      </c>
      <c r="B74" s="20"/>
      <c r="C74" s="10" t="s">
        <v>184</v>
      </c>
      <c r="D74" s="10" t="s">
        <v>184</v>
      </c>
      <c r="E74" s="11" t="s">
        <v>185</v>
      </c>
      <c r="F74" s="30"/>
      <c r="G74" s="49"/>
      <c r="H74" s="1">
        <v>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23">
        <f t="shared" si="2"/>
        <v>2</v>
      </c>
    </row>
    <row r="75" spans="1:19" ht="19.5" x14ac:dyDescent="0.25">
      <c r="A75" s="20">
        <v>69</v>
      </c>
      <c r="B75" s="20"/>
      <c r="C75" s="10" t="s">
        <v>186</v>
      </c>
      <c r="D75" s="10" t="s">
        <v>186</v>
      </c>
      <c r="E75" s="11" t="s">
        <v>187</v>
      </c>
      <c r="F75" s="30"/>
      <c r="G75" s="49"/>
      <c r="H75" s="1">
        <v>2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23">
        <f t="shared" si="2"/>
        <v>2</v>
      </c>
    </row>
    <row r="76" spans="1:19" ht="19.5" x14ac:dyDescent="0.25">
      <c r="A76" s="20">
        <v>70</v>
      </c>
      <c r="B76" s="20"/>
      <c r="C76" s="12" t="s">
        <v>188</v>
      </c>
      <c r="D76" s="12" t="s">
        <v>188</v>
      </c>
      <c r="E76" s="11" t="s">
        <v>189</v>
      </c>
      <c r="F76" s="30"/>
      <c r="G76" s="49"/>
      <c r="H76" s="1">
        <v>4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23">
        <f t="shared" si="2"/>
        <v>4</v>
      </c>
    </row>
    <row r="77" spans="1:19" ht="19.5" x14ac:dyDescent="0.25">
      <c r="A77" s="20">
        <v>71</v>
      </c>
      <c r="B77" s="20"/>
      <c r="C77" s="10" t="s">
        <v>190</v>
      </c>
      <c r="D77" s="10" t="s">
        <v>190</v>
      </c>
      <c r="E77" s="11" t="s">
        <v>191</v>
      </c>
      <c r="F77" s="30"/>
      <c r="G77" s="49"/>
      <c r="H77" s="1">
        <v>4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23">
        <f t="shared" si="2"/>
        <v>4</v>
      </c>
    </row>
    <row r="78" spans="1:19" ht="19.5" x14ac:dyDescent="0.25">
      <c r="A78" s="20">
        <v>72</v>
      </c>
      <c r="B78" s="20"/>
      <c r="C78" s="10"/>
      <c r="D78" s="10" t="s">
        <v>192</v>
      </c>
      <c r="E78" s="50" t="s">
        <v>193</v>
      </c>
      <c r="F78" s="30"/>
      <c r="G78" s="4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23">
        <v>4</v>
      </c>
    </row>
    <row r="79" spans="1:19" ht="19.5" x14ac:dyDescent="0.25">
      <c r="A79" s="20">
        <v>73</v>
      </c>
      <c r="B79" s="10">
        <v>86592175720</v>
      </c>
      <c r="C79" s="13" t="s">
        <v>194</v>
      </c>
      <c r="D79" s="13" t="s">
        <v>194</v>
      </c>
      <c r="E79" s="50" t="s">
        <v>195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23"/>
    </row>
    <row r="80" spans="1:19" ht="19.5" x14ac:dyDescent="0.25">
      <c r="A80" s="20">
        <v>74</v>
      </c>
      <c r="B80" s="10">
        <v>94802055290</v>
      </c>
      <c r="C80" s="13" t="s">
        <v>196</v>
      </c>
      <c r="D80" s="13" t="s">
        <v>196</v>
      </c>
      <c r="E80" s="50" t="s">
        <v>197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23"/>
    </row>
    <row r="81" spans="1:19" ht="19.5" x14ac:dyDescent="0.25">
      <c r="A81" s="20">
        <v>75</v>
      </c>
      <c r="B81" s="10">
        <v>86592122960</v>
      </c>
      <c r="C81" s="13" t="s">
        <v>198</v>
      </c>
      <c r="D81" s="13" t="s">
        <v>198</v>
      </c>
      <c r="E81" s="50" t="s">
        <v>199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23"/>
    </row>
    <row r="82" spans="1:19" ht="19.5" x14ac:dyDescent="0.25">
      <c r="A82" s="20">
        <v>76</v>
      </c>
      <c r="B82" s="13" t="s">
        <v>200</v>
      </c>
      <c r="C82" s="13" t="s">
        <v>201</v>
      </c>
      <c r="D82" s="13" t="s">
        <v>201</v>
      </c>
      <c r="E82" s="50" t="s">
        <v>202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23"/>
    </row>
    <row r="83" spans="1:19" ht="19.5" x14ac:dyDescent="0.25">
      <c r="A83" s="20">
        <v>77</v>
      </c>
      <c r="B83" s="14">
        <v>86590130330</v>
      </c>
      <c r="C83" s="13" t="s">
        <v>203</v>
      </c>
      <c r="D83" s="13" t="s">
        <v>204</v>
      </c>
      <c r="E83" s="50" t="s">
        <v>205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23"/>
    </row>
    <row r="84" spans="1:19" ht="19.5" x14ac:dyDescent="0.25">
      <c r="A84" s="20">
        <v>78</v>
      </c>
      <c r="B84" s="14">
        <v>86590130190</v>
      </c>
      <c r="C84" s="13" t="s">
        <v>206</v>
      </c>
      <c r="D84" s="13" t="s">
        <v>207</v>
      </c>
      <c r="E84" s="50" t="s">
        <v>208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23"/>
    </row>
    <row r="85" spans="1:19" ht="19.5" x14ac:dyDescent="0.25">
      <c r="A85" s="20">
        <v>79</v>
      </c>
      <c r="B85" s="10">
        <v>86006087030</v>
      </c>
      <c r="C85" s="13" t="s">
        <v>209</v>
      </c>
      <c r="D85" s="13" t="s">
        <v>210</v>
      </c>
      <c r="E85" s="50" t="s">
        <v>211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23"/>
    </row>
    <row r="86" spans="1:19" ht="19.5" x14ac:dyDescent="0.25">
      <c r="A86" s="20">
        <v>80</v>
      </c>
      <c r="B86" s="13"/>
      <c r="C86" s="13"/>
      <c r="D86" s="13"/>
      <c r="E86" s="50" t="s">
        <v>212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51"/>
    </row>
    <row r="87" spans="1:19" ht="19.5" x14ac:dyDescent="0.25">
      <c r="A87" s="20">
        <v>81</v>
      </c>
      <c r="B87" s="16">
        <v>86592131250</v>
      </c>
      <c r="C87" s="13" t="s">
        <v>213</v>
      </c>
      <c r="D87" s="13"/>
      <c r="E87" s="50" t="s">
        <v>214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51"/>
    </row>
    <row r="88" spans="1:19" ht="19.5" x14ac:dyDescent="0.25">
      <c r="A88" s="20">
        <v>82</v>
      </c>
      <c r="B88" s="13"/>
      <c r="C88" s="13"/>
      <c r="D88" s="13"/>
      <c r="E88" s="50" t="s">
        <v>215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51"/>
    </row>
    <row r="89" spans="1:19" ht="19.5" x14ac:dyDescent="0.25">
      <c r="A89" s="20">
        <v>83</v>
      </c>
      <c r="B89" s="13"/>
      <c r="C89" s="13"/>
      <c r="D89" s="13"/>
      <c r="E89" s="50" t="s">
        <v>216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51"/>
    </row>
    <row r="90" spans="1:19" ht="19.5" x14ac:dyDescent="0.25">
      <c r="A90" s="20">
        <v>84</v>
      </c>
      <c r="B90" s="13"/>
      <c r="C90" s="13"/>
      <c r="D90" s="13"/>
      <c r="E90" s="50" t="s">
        <v>217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51"/>
    </row>
    <row r="91" spans="1:19" ht="19.5" x14ac:dyDescent="0.25">
      <c r="A91" s="20">
        <v>85</v>
      </c>
      <c r="B91" s="13"/>
      <c r="C91" s="13"/>
      <c r="D91" s="13"/>
      <c r="E91" s="50" t="s">
        <v>218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51"/>
    </row>
    <row r="92" spans="1:19" ht="19.5" x14ac:dyDescent="0.25">
      <c r="A92" s="20">
        <v>86</v>
      </c>
      <c r="B92" s="13"/>
      <c r="C92" s="13"/>
      <c r="D92" s="13"/>
      <c r="E92" s="50" t="s">
        <v>219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51"/>
    </row>
    <row r="93" spans="1:19" ht="19.5" x14ac:dyDescent="0.25">
      <c r="A93" s="20">
        <v>87</v>
      </c>
      <c r="B93" s="13"/>
      <c r="C93" s="13"/>
      <c r="D93" s="13"/>
      <c r="E93" s="50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51"/>
    </row>
  </sheetData>
  <mergeCells count="3">
    <mergeCell ref="A1:S1"/>
    <mergeCell ref="A34:S34"/>
    <mergeCell ref="A45:S45"/>
  </mergeCells>
  <conditionalFormatting sqref="N3:R5 H3:H19 H21 H23:H24 I3:I16 I18 K3:K6 K9:K16 K18 L3:L5">
    <cfRule type="cellIs" dxfId="2" priority="3" stopIfTrue="1" operator="equal">
      <formula>0</formula>
    </cfRule>
  </conditionalFormatting>
  <conditionalFormatting sqref="I42 J44:K44 L40:L44 M40:R43 H35:H43 I35:I40 K35:K39 L37:R37">
    <cfRule type="cellIs" dxfId="1" priority="2" stopIfTrue="1" operator="equal">
      <formula>0</formula>
    </cfRule>
  </conditionalFormatting>
  <conditionalFormatting sqref="J61:J64 H46:I49 H51 H57:H58 I57 J46:J47 J52:J56 K47:K49 K57">
    <cfRule type="cellIs" dxfId="0" priority="1" stopIfTrue="1" operator="equal">
      <formula>0</formula>
    </cfRule>
  </conditionalFormatting>
  <dataValidations count="1">
    <dataValidation type="list" allowBlank="1" showErrorMessage="1" sqref="G3:G13 G19:G28 L18:R24 Q17:R17 G16:G17 G35:G44 H52:I56 G46:G83">
      <formula1>"Nos,Mtr"</formula1>
      <formula2>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maniraja</dc:creator>
  <cp:lastModifiedBy>K maniraja</cp:lastModifiedBy>
  <dcterms:created xsi:type="dcterms:W3CDTF">2026-10-19T10:54:39Z</dcterms:created>
  <dcterms:modified xsi:type="dcterms:W3CDTF">2026-10-19T11:27:58Z</dcterms:modified>
</cp:coreProperties>
</file>